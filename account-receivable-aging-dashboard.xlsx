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elzau\Projects\higher-ed-finance-analytics\excel\"/>
    </mc:Choice>
  </mc:AlternateContent>
  <xr:revisionPtr revIDLastSave="0" documentId="8_{D3C62175-94CA-47F6-9DF7-A9303864580C}" xr6:coauthVersionLast="47" xr6:coauthVersionMax="47" xr10:uidLastSave="{00000000-0000-0000-0000-000000000000}"/>
  <bookViews>
    <workbookView xWindow="3936" yWindow="3432" windowWidth="17280" windowHeight="9960" activeTab="3" xr2:uid="{66E2A7DB-3890-4CFB-8F38-44BC66A2D086}"/>
  </bookViews>
  <sheets>
    <sheet name="Dashboard" sheetId="2" r:id="rId1"/>
    <sheet name="Data Dictionary" sheetId="4" r:id="rId2"/>
    <sheet name="AR Ledger" sheetId="3" r:id="rId3"/>
    <sheet name="Pivot - AR Analysis" sheetId="1" r:id="rId4"/>
  </sheets>
  <definedNames>
    <definedName name="_xlnm._FilterDatabase" localSheetId="2" hidden="1">'AR Ledger'!$A$1:$N$281</definedName>
    <definedName name="Slicer_Program">#N/A</definedName>
  </definedNames>
  <calcPr calcId="191028"/>
  <pivotCaches>
    <pivotCache cacheId="773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2" l="1"/>
  <c r="M175" i="3"/>
  <c r="J20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20" i="3"/>
  <c r="L221" i="3"/>
  <c r="L222" i="3"/>
  <c r="L223" i="3"/>
  <c r="L224" i="3"/>
  <c r="L225" i="3"/>
  <c r="L226" i="3"/>
  <c r="L227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9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4" i="3"/>
  <c r="L275" i="3"/>
  <c r="L276" i="3"/>
  <c r="L277" i="3"/>
  <c r="L278" i="3"/>
  <c r="L279" i="3"/>
  <c r="L280" i="3"/>
  <c r="L281" i="3"/>
  <c r="L2" i="3"/>
  <c r="M28" i="3"/>
  <c r="J175" i="3"/>
  <c r="J176" i="3"/>
  <c r="J177" i="3"/>
  <c r="J168" i="3"/>
  <c r="J178" i="3"/>
  <c r="J13" i="3"/>
  <c r="J159" i="3"/>
  <c r="J10" i="3"/>
  <c r="J6" i="3"/>
  <c r="J179" i="3"/>
  <c r="J101" i="3"/>
  <c r="J100" i="3"/>
  <c r="J79" i="3"/>
  <c r="J66" i="3"/>
  <c r="J39" i="3"/>
  <c r="J123" i="3"/>
  <c r="J3" i="3"/>
  <c r="J180" i="3"/>
  <c r="J128" i="3"/>
  <c r="J171" i="3"/>
  <c r="J110" i="3"/>
  <c r="J181" i="3"/>
  <c r="J65" i="3"/>
  <c r="J161" i="3"/>
  <c r="J182" i="3"/>
  <c r="J91" i="3"/>
  <c r="J134" i="3"/>
  <c r="J172" i="3"/>
  <c r="J183" i="3"/>
  <c r="J107" i="3"/>
  <c r="J184" i="3"/>
  <c r="J185" i="3"/>
  <c r="J40" i="3"/>
  <c r="J72" i="3"/>
  <c r="J41" i="3"/>
  <c r="J187" i="3"/>
  <c r="J81" i="3"/>
  <c r="J188" i="3"/>
  <c r="J78" i="3"/>
  <c r="J43" i="3"/>
  <c r="J189" i="3"/>
  <c r="J190" i="3"/>
  <c r="J191" i="3"/>
  <c r="J147" i="3"/>
  <c r="J192" i="3"/>
  <c r="J131" i="3"/>
  <c r="J80" i="3"/>
  <c r="J76" i="3"/>
  <c r="J4" i="3"/>
  <c r="J193" i="3"/>
  <c r="J30" i="3"/>
  <c r="J194" i="3"/>
  <c r="J164" i="3"/>
  <c r="J195" i="3"/>
  <c r="J132" i="3"/>
  <c r="J173" i="3"/>
  <c r="J144" i="3"/>
  <c r="J42" i="3"/>
  <c r="J196" i="3"/>
  <c r="J82" i="3"/>
  <c r="J33" i="3"/>
  <c r="J97" i="3"/>
  <c r="J112" i="3"/>
  <c r="J153" i="3"/>
  <c r="J88" i="3"/>
  <c r="J197" i="3"/>
  <c r="J138" i="3"/>
  <c r="J35" i="3"/>
  <c r="J198" i="3"/>
  <c r="J26" i="3"/>
  <c r="J199" i="3"/>
  <c r="J146" i="3"/>
  <c r="J200" i="3"/>
  <c r="J32" i="3"/>
  <c r="J201" i="3"/>
  <c r="J203" i="3"/>
  <c r="J90" i="3"/>
  <c r="J9" i="3"/>
  <c r="J151" i="3"/>
  <c r="J204" i="3"/>
  <c r="J34" i="3"/>
  <c r="J154" i="3"/>
  <c r="J130" i="3"/>
  <c r="J22" i="3"/>
  <c r="J205" i="3"/>
  <c r="J52" i="3"/>
  <c r="J85" i="3"/>
  <c r="J206" i="3"/>
  <c r="L206" i="3" s="1"/>
  <c r="J143" i="3"/>
  <c r="J45" i="3"/>
  <c r="J55" i="3"/>
  <c r="J136" i="3"/>
  <c r="J50" i="3"/>
  <c r="J207" i="3"/>
  <c r="J208" i="3"/>
  <c r="J98" i="3"/>
  <c r="J36" i="3"/>
  <c r="J102" i="3"/>
  <c r="J53" i="3"/>
  <c r="J209" i="3"/>
  <c r="J156" i="3"/>
  <c r="J210" i="3"/>
  <c r="J211" i="3"/>
  <c r="J212" i="3"/>
  <c r="J25" i="3"/>
  <c r="J58" i="3"/>
  <c r="J93" i="3"/>
  <c r="J95" i="3"/>
  <c r="J74" i="3"/>
  <c r="J213" i="3"/>
  <c r="J214" i="3"/>
  <c r="J96" i="3"/>
  <c r="J62" i="3"/>
  <c r="J51" i="3"/>
  <c r="J73" i="3"/>
  <c r="J155" i="3"/>
  <c r="J215" i="3"/>
  <c r="J87" i="3"/>
  <c r="J216" i="3"/>
  <c r="J68" i="3"/>
  <c r="J28" i="3"/>
  <c r="J217" i="3"/>
  <c r="J119" i="3"/>
  <c r="J64" i="3"/>
  <c r="J218" i="3"/>
  <c r="J219" i="3"/>
  <c r="L219" i="3" s="1"/>
  <c r="J220" i="3"/>
  <c r="J160" i="3"/>
  <c r="J145" i="3"/>
  <c r="J221" i="3"/>
  <c r="J75" i="3"/>
  <c r="J222" i="3"/>
  <c r="J106" i="3"/>
  <c r="J113" i="3"/>
  <c r="J223" i="3"/>
  <c r="J224" i="3"/>
  <c r="J109" i="3"/>
  <c r="J165" i="3"/>
  <c r="J225" i="3"/>
  <c r="J226" i="3"/>
  <c r="J115" i="3"/>
  <c r="J137" i="3"/>
  <c r="J92" i="3"/>
  <c r="J227" i="3"/>
  <c r="J124" i="3"/>
  <c r="J228" i="3"/>
  <c r="L228" i="3" s="1"/>
  <c r="J24" i="3"/>
  <c r="J229" i="3"/>
  <c r="J230" i="3"/>
  <c r="J140" i="3"/>
  <c r="J231" i="3"/>
  <c r="J59" i="3"/>
  <c r="J232" i="3"/>
  <c r="J233" i="3"/>
  <c r="J149" i="3"/>
  <c r="J54" i="3"/>
  <c r="J234" i="3"/>
  <c r="J235" i="3"/>
  <c r="J139" i="3"/>
  <c r="J23" i="3"/>
  <c r="J236" i="3"/>
  <c r="J49" i="3"/>
  <c r="J69" i="3"/>
  <c r="J20" i="3"/>
  <c r="J237" i="3"/>
  <c r="J57" i="3"/>
  <c r="J152" i="3"/>
  <c r="J238" i="3"/>
  <c r="J5" i="3"/>
  <c r="J15" i="3"/>
  <c r="J71" i="3"/>
  <c r="J169" i="3"/>
  <c r="J239" i="3"/>
  <c r="J117" i="3"/>
  <c r="J2" i="3"/>
  <c r="J240" i="3"/>
  <c r="J86" i="3"/>
  <c r="J241" i="3"/>
  <c r="J129" i="3"/>
  <c r="J125" i="3"/>
  <c r="J242" i="3"/>
  <c r="J17" i="3"/>
  <c r="J7" i="3"/>
  <c r="J243" i="3"/>
  <c r="J150" i="3"/>
  <c r="J21" i="3"/>
  <c r="J67" i="3"/>
  <c r="J27" i="3"/>
  <c r="J244" i="3"/>
  <c r="J105" i="3"/>
  <c r="J114" i="3"/>
  <c r="J245" i="3"/>
  <c r="L245" i="3" s="1"/>
  <c r="J31" i="3"/>
  <c r="J174" i="3"/>
  <c r="J246" i="3"/>
  <c r="J47" i="3"/>
  <c r="J8" i="3"/>
  <c r="J247" i="3"/>
  <c r="J248" i="3"/>
  <c r="J116" i="3"/>
  <c r="J111" i="3"/>
  <c r="J249" i="3"/>
  <c r="J48" i="3"/>
  <c r="J141" i="3"/>
  <c r="J38" i="3"/>
  <c r="J250" i="3"/>
  <c r="J166" i="3"/>
  <c r="J251" i="3"/>
  <c r="J252" i="3"/>
  <c r="J84" i="3"/>
  <c r="J253" i="3"/>
  <c r="J254" i="3"/>
  <c r="J118" i="3"/>
  <c r="J56" i="3"/>
  <c r="J94" i="3"/>
  <c r="J255" i="3"/>
  <c r="J99" i="3"/>
  <c r="J256" i="3"/>
  <c r="J257" i="3"/>
  <c r="J258" i="3"/>
  <c r="L258" i="3" s="1"/>
  <c r="J127" i="3"/>
  <c r="J259" i="3"/>
  <c r="J83" i="3"/>
  <c r="J103" i="3"/>
  <c r="J260" i="3"/>
  <c r="L260" i="3" s="1"/>
  <c r="J63" i="3"/>
  <c r="J167" i="3"/>
  <c r="J29" i="3"/>
  <c r="J261" i="3"/>
  <c r="J133" i="3"/>
  <c r="J89" i="3"/>
  <c r="J12" i="3"/>
  <c r="J262" i="3"/>
  <c r="J263" i="3"/>
  <c r="J264" i="3"/>
  <c r="J158" i="3"/>
  <c r="J265" i="3"/>
  <c r="J162" i="3"/>
  <c r="J122" i="3"/>
  <c r="J77" i="3"/>
  <c r="J266" i="3"/>
  <c r="J46" i="3"/>
  <c r="J267" i="3"/>
  <c r="J268" i="3"/>
  <c r="J269" i="3"/>
  <c r="J16" i="3"/>
  <c r="J135" i="3"/>
  <c r="J270" i="3"/>
  <c r="J120" i="3"/>
  <c r="J37" i="3"/>
  <c r="J126" i="3"/>
  <c r="J18" i="3"/>
  <c r="J271" i="3"/>
  <c r="J272" i="3"/>
  <c r="J19" i="3"/>
  <c r="J273" i="3"/>
  <c r="L273" i="3" s="1"/>
  <c r="J274" i="3"/>
  <c r="J44" i="3"/>
  <c r="J275" i="3"/>
  <c r="J276" i="3"/>
  <c r="J170" i="3"/>
  <c r="J277" i="3"/>
  <c r="J157" i="3"/>
  <c r="J14" i="3"/>
  <c r="J108" i="3"/>
  <c r="J60" i="3"/>
  <c r="J61" i="3"/>
  <c r="J278" i="3"/>
  <c r="J279" i="3"/>
  <c r="J104" i="3"/>
  <c r="J142" i="3"/>
  <c r="J280" i="3"/>
  <c r="J11" i="3"/>
  <c r="J163" i="3"/>
  <c r="J121" i="3"/>
  <c r="J281" i="3"/>
  <c r="J70" i="3"/>
  <c r="J148" i="3"/>
  <c r="C24" i="2"/>
  <c r="B24" i="2"/>
  <c r="C23" i="2"/>
  <c r="B23" i="2"/>
  <c r="C22" i="2"/>
  <c r="B22" i="2"/>
  <c r="C21" i="2"/>
  <c r="B21" i="2"/>
  <c r="C20" i="2"/>
  <c r="B20" i="2"/>
  <c r="H12" i="2"/>
  <c r="G12" i="2"/>
  <c r="H11" i="2"/>
  <c r="G11" i="2"/>
  <c r="H10" i="2"/>
  <c r="G10" i="2"/>
  <c r="I5" i="2"/>
  <c r="E5" i="2"/>
  <c r="C5" i="2"/>
  <c r="A5" i="2"/>
  <c r="A2" i="2"/>
  <c r="M70" i="3"/>
  <c r="M281" i="3"/>
  <c r="M121" i="3"/>
  <c r="M163" i="3"/>
  <c r="M11" i="3"/>
  <c r="M280" i="3"/>
  <c r="M142" i="3"/>
  <c r="M104" i="3"/>
  <c r="M279" i="3"/>
  <c r="M278" i="3"/>
  <c r="M61" i="3"/>
  <c r="M60" i="3"/>
  <c r="M108" i="3"/>
  <c r="M14" i="3"/>
  <c r="M157" i="3"/>
  <c r="M277" i="3"/>
  <c r="M170" i="3"/>
  <c r="M276" i="3"/>
  <c r="M275" i="3"/>
  <c r="M44" i="3"/>
  <c r="M274" i="3"/>
  <c r="M273" i="3"/>
  <c r="M19" i="3"/>
  <c r="M272" i="3"/>
  <c r="M271" i="3"/>
  <c r="M18" i="3"/>
  <c r="M126" i="3"/>
  <c r="M37" i="3"/>
  <c r="M120" i="3"/>
  <c r="M270" i="3"/>
  <c r="M135" i="3"/>
  <c r="M16" i="3"/>
  <c r="M269" i="3"/>
  <c r="M268" i="3"/>
  <c r="M267" i="3"/>
  <c r="M46" i="3"/>
  <c r="M266" i="3"/>
  <c r="M77" i="3"/>
  <c r="M122" i="3"/>
  <c r="M162" i="3"/>
  <c r="M265" i="3"/>
  <c r="M158" i="3"/>
  <c r="M264" i="3"/>
  <c r="M263" i="3"/>
  <c r="M262" i="3"/>
  <c r="M12" i="3"/>
  <c r="M89" i="3"/>
  <c r="M133" i="3"/>
  <c r="M261" i="3"/>
  <c r="M29" i="3"/>
  <c r="M167" i="3"/>
  <c r="M63" i="3"/>
  <c r="M260" i="3"/>
  <c r="M103" i="3"/>
  <c r="M83" i="3"/>
  <c r="M259" i="3"/>
  <c r="M127" i="3"/>
  <c r="M258" i="3"/>
  <c r="M257" i="3"/>
  <c r="M256" i="3"/>
  <c r="M99" i="3"/>
  <c r="M255" i="3"/>
  <c r="M94" i="3"/>
  <c r="M56" i="3"/>
  <c r="M118" i="3"/>
  <c r="M254" i="3"/>
  <c r="M253" i="3"/>
  <c r="M84" i="3"/>
  <c r="M252" i="3"/>
  <c r="M251" i="3"/>
  <c r="M166" i="3"/>
  <c r="M250" i="3"/>
  <c r="M38" i="3"/>
  <c r="M141" i="3"/>
  <c r="M48" i="3"/>
  <c r="M249" i="3"/>
  <c r="M111" i="3"/>
  <c r="M116" i="3"/>
  <c r="M248" i="3"/>
  <c r="M247" i="3"/>
  <c r="M8" i="3"/>
  <c r="M47" i="3"/>
  <c r="M246" i="3"/>
  <c r="M174" i="3"/>
  <c r="M31" i="3"/>
  <c r="M245" i="3"/>
  <c r="M114" i="3"/>
  <c r="M105" i="3"/>
  <c r="M244" i="3"/>
  <c r="M27" i="3"/>
  <c r="M67" i="3"/>
  <c r="M21" i="3"/>
  <c r="M150" i="3"/>
  <c r="M243" i="3"/>
  <c r="M7" i="3"/>
  <c r="M17" i="3"/>
  <c r="M242" i="3"/>
  <c r="M125" i="3"/>
  <c r="M129" i="3"/>
  <c r="M241" i="3"/>
  <c r="M86" i="3"/>
  <c r="M240" i="3"/>
  <c r="M2" i="3"/>
  <c r="M117" i="3"/>
  <c r="M239" i="3"/>
  <c r="M169" i="3"/>
  <c r="M71" i="3"/>
  <c r="M15" i="3"/>
  <c r="M5" i="3"/>
  <c r="M238" i="3"/>
  <c r="M152" i="3"/>
  <c r="M57" i="3"/>
  <c r="M237" i="3"/>
  <c r="M20" i="3"/>
  <c r="M69" i="3"/>
  <c r="M49" i="3"/>
  <c r="M236" i="3"/>
  <c r="M23" i="3"/>
  <c r="M139" i="3"/>
  <c r="M235" i="3"/>
  <c r="M234" i="3"/>
  <c r="M54" i="3"/>
  <c r="M149" i="3"/>
  <c r="M233" i="3"/>
  <c r="M232" i="3"/>
  <c r="M59" i="3"/>
  <c r="M231" i="3"/>
  <c r="M140" i="3"/>
  <c r="M230" i="3"/>
  <c r="M229" i="3"/>
  <c r="M24" i="3"/>
  <c r="M228" i="3"/>
  <c r="M124" i="3"/>
  <c r="M227" i="3"/>
  <c r="M92" i="3"/>
  <c r="M137" i="3"/>
  <c r="M115" i="3"/>
  <c r="M226" i="3"/>
  <c r="M225" i="3"/>
  <c r="M165" i="3"/>
  <c r="M109" i="3"/>
  <c r="M224" i="3"/>
  <c r="M223" i="3"/>
  <c r="M113" i="3"/>
  <c r="M106" i="3"/>
  <c r="M222" i="3"/>
  <c r="M75" i="3"/>
  <c r="M221" i="3"/>
  <c r="M145" i="3"/>
  <c r="M160" i="3"/>
  <c r="M220" i="3"/>
  <c r="M219" i="3"/>
  <c r="M218" i="3"/>
  <c r="M64" i="3"/>
  <c r="M119" i="3"/>
  <c r="M217" i="3"/>
  <c r="M68" i="3"/>
  <c r="M216" i="3"/>
  <c r="M87" i="3"/>
  <c r="M215" i="3"/>
  <c r="M155" i="3"/>
  <c r="M73" i="3"/>
  <c r="M51" i="3"/>
  <c r="M62" i="3"/>
  <c r="M96" i="3"/>
  <c r="M214" i="3"/>
  <c r="M213" i="3"/>
  <c r="M74" i="3"/>
  <c r="M95" i="3"/>
  <c r="M93" i="3"/>
  <c r="M58" i="3"/>
  <c r="M25" i="3"/>
  <c r="M212" i="3"/>
  <c r="M211" i="3"/>
  <c r="M210" i="3"/>
  <c r="M156" i="3"/>
  <c r="M209" i="3"/>
  <c r="M53" i="3"/>
  <c r="M102" i="3"/>
  <c r="M36" i="3"/>
  <c r="M98" i="3"/>
  <c r="M208" i="3"/>
  <c r="M207" i="3"/>
  <c r="M50" i="3"/>
  <c r="M136" i="3"/>
  <c r="M55" i="3"/>
  <c r="M45" i="3"/>
  <c r="M143" i="3"/>
  <c r="M206" i="3"/>
  <c r="M85" i="3"/>
  <c r="M52" i="3"/>
  <c r="M205" i="3"/>
  <c r="M22" i="3"/>
  <c r="M130" i="3"/>
  <c r="M154" i="3"/>
  <c r="M34" i="3"/>
  <c r="M204" i="3"/>
  <c r="M151" i="3"/>
  <c r="M9" i="3"/>
  <c r="M90" i="3"/>
  <c r="M203" i="3"/>
  <c r="M202" i="3"/>
  <c r="M201" i="3"/>
  <c r="M32" i="3"/>
  <c r="M200" i="3"/>
  <c r="M146" i="3"/>
  <c r="M199" i="3"/>
  <c r="M26" i="3"/>
  <c r="M198" i="3"/>
  <c r="M35" i="3"/>
  <c r="M138" i="3"/>
  <c r="M197" i="3"/>
  <c r="M88" i="3"/>
  <c r="M153" i="3"/>
  <c r="M112" i="3"/>
  <c r="M97" i="3"/>
  <c r="M33" i="3"/>
  <c r="M82" i="3"/>
  <c r="M196" i="3"/>
  <c r="M42" i="3"/>
  <c r="M144" i="3"/>
  <c r="M173" i="3"/>
  <c r="M132" i="3"/>
  <c r="M195" i="3"/>
  <c r="M164" i="3"/>
  <c r="M194" i="3"/>
  <c r="M30" i="3"/>
  <c r="M193" i="3"/>
  <c r="M4" i="3"/>
  <c r="M76" i="3"/>
  <c r="M80" i="3"/>
  <c r="M131" i="3"/>
  <c r="M192" i="3"/>
  <c r="M147" i="3"/>
  <c r="M191" i="3"/>
  <c r="M190" i="3"/>
  <c r="M189" i="3"/>
  <c r="M43" i="3"/>
  <c r="M78" i="3"/>
  <c r="M188" i="3"/>
  <c r="M81" i="3"/>
  <c r="M187" i="3"/>
  <c r="M41" i="3"/>
  <c r="M72" i="3"/>
  <c r="M186" i="3"/>
  <c r="M40" i="3"/>
  <c r="M185" i="3"/>
  <c r="M184" i="3"/>
  <c r="M107" i="3"/>
  <c r="M183" i="3"/>
  <c r="M172" i="3"/>
  <c r="M134" i="3"/>
  <c r="M91" i="3"/>
  <c r="M182" i="3"/>
  <c r="M161" i="3"/>
  <c r="M65" i="3"/>
  <c r="M181" i="3"/>
  <c r="M110" i="3"/>
  <c r="M171" i="3"/>
  <c r="M128" i="3"/>
  <c r="M180" i="3"/>
  <c r="M3" i="3"/>
  <c r="M123" i="3"/>
  <c r="M39" i="3"/>
  <c r="M66" i="3"/>
  <c r="M79" i="3"/>
  <c r="M100" i="3"/>
  <c r="M101" i="3"/>
  <c r="M6" i="3"/>
  <c r="M10" i="3"/>
  <c r="M159" i="3"/>
  <c r="M13" i="3"/>
  <c r="M178" i="3"/>
  <c r="M168" i="3"/>
  <c r="M177" i="3"/>
  <c r="M176" i="3"/>
  <c r="M148" i="3"/>
  <c r="D10" i="2" l="1"/>
  <c r="G5" i="2"/>
  <c r="L179" i="3"/>
  <c r="M179" i="3" s="1"/>
  <c r="C13" i="2"/>
  <c r="D13" i="2" s="1"/>
  <c r="B13" i="2"/>
  <c r="C12" i="2"/>
  <c r="D12" i="2" s="1"/>
  <c r="C11" i="2"/>
  <c r="D11" i="2" s="1"/>
  <c r="B10" i="2" l="1"/>
  <c r="B11" i="2"/>
  <c r="B12" i="2"/>
  <c r="C14" i="2"/>
  <c r="D14" i="2"/>
  <c r="B14" i="2" l="1"/>
</calcChain>
</file>

<file path=xl/sharedStrings.xml><?xml version="1.0" encoding="utf-8"?>
<sst xmlns="http://schemas.openxmlformats.org/spreadsheetml/2006/main" count="1513" uniqueCount="598">
  <si>
    <t>Tuition &amp; AR Aging Dashboard</t>
  </si>
  <si>
    <t>Prepared by: Sokova Elza | Summer 2026 | Portfolio Project</t>
  </si>
  <si>
    <t>Total Charges</t>
  </si>
  <si>
    <t>Total Collected</t>
  </si>
  <si>
    <t>Outstanding AR</t>
  </si>
  <si>
    <t>Open Accounts</t>
  </si>
  <si>
    <t>Collection Rate</t>
  </si>
  <si>
    <t>AR Aging Summary</t>
  </si>
  <si>
    <t>Payment Plan Status</t>
  </si>
  <si>
    <t>Aging Bucket</t>
  </si>
  <si>
    <t># Accounts</t>
  </si>
  <si>
    <t>Outstanding Balance</t>
  </si>
  <si>
    <t>% of Total Outstanding AR</t>
  </si>
  <si>
    <t>Status</t>
  </si>
  <si>
    <t>1-30 Days</t>
  </si>
  <si>
    <t>On Plan</t>
  </si>
  <si>
    <t>31-60 Days</t>
  </si>
  <si>
    <t>Not on Plan</t>
  </si>
  <si>
    <t>61-90 Days</t>
  </si>
  <si>
    <t>Defaulted</t>
  </si>
  <si>
    <t>90+ Days</t>
  </si>
  <si>
    <t>Total (excl. Paid)</t>
  </si>
  <si>
    <t>Outstanding AR by Program</t>
  </si>
  <si>
    <t>Program</t>
  </si>
  <si>
    <t># Open Accounts</t>
  </si>
  <si>
    <t>Business Administration</t>
  </si>
  <si>
    <t>Nursing</t>
  </si>
  <si>
    <t>Information Technology</t>
  </si>
  <si>
    <t>Criminal Justice</t>
  </si>
  <si>
    <t>Liberal Arts</t>
  </si>
  <si>
    <t>© 2026 Sokova Elza | Synthetic data | Portfolio use only</t>
  </si>
  <si>
    <t>Column</t>
  </si>
  <si>
    <t>Description</t>
  </si>
  <si>
    <t>Example</t>
  </si>
  <si>
    <t>StudentID</t>
  </si>
  <si>
    <t>Unique student identifier</t>
  </si>
  <si>
    <t>STU1042</t>
  </si>
  <si>
    <t>StudentName</t>
  </si>
  <si>
    <t>Student full name (synthetic)</t>
  </si>
  <si>
    <t>Emily Johnson</t>
  </si>
  <si>
    <t>Academic program</t>
  </si>
  <si>
    <t>Term</t>
  </si>
  <si>
    <t>Billing term</t>
  </si>
  <si>
    <t>Spring 2026</t>
  </si>
  <si>
    <t>CohortYear</t>
  </si>
  <si>
    <t>Expected graduation cohort</t>
  </si>
  <si>
    <t>InvoiceDate</t>
  </si>
  <si>
    <t>Date tuition/fees were billed</t>
  </si>
  <si>
    <t>DueDate</t>
  </si>
  <si>
    <t>Payment due date (Invoice + 30 days)</t>
  </si>
  <si>
    <t>DueToDate_Amount</t>
  </si>
  <si>
    <t>Scheduled amount due to date  (tuition + fees)</t>
  </si>
  <si>
    <t>PaymentsApplied</t>
  </si>
  <si>
    <t>Payments received to date</t>
  </si>
  <si>
    <t>Balance</t>
  </si>
  <si>
    <t>Outstanding balance (Charge - Payments)</t>
  </si>
  <si>
    <t>OldestPastDueDate</t>
  </si>
  <si>
    <t>Date of the first missed payment / first unpaid due date</t>
  </si>
  <si>
    <t>DaysPastDue</t>
  </si>
  <si>
    <t>Days since due date if balance &gt; 0</t>
  </si>
  <si>
    <t>AgingBucket</t>
  </si>
  <si>
    <t>AR aging category</t>
  </si>
  <si>
    <t>PaymentPlanStatus</t>
  </si>
  <si>
    <t>Installment plan status</t>
  </si>
  <si>
    <t>STU1177</t>
  </si>
  <si>
    <t>David Jackson</t>
  </si>
  <si>
    <t>Summer 2026</t>
  </si>
  <si>
    <t>AsOfDate</t>
  </si>
  <si>
    <t>STU1017</t>
  </si>
  <si>
    <t>Rachel Martin</t>
  </si>
  <si>
    <t>STU1050</t>
  </si>
  <si>
    <t>James Anderson</t>
  </si>
  <si>
    <t>STU1171</t>
  </si>
  <si>
    <t>Andrew Garcia</t>
  </si>
  <si>
    <t>STU1009</t>
  </si>
  <si>
    <t>Elizabeth Williams</t>
  </si>
  <si>
    <t>STU1185</t>
  </si>
  <si>
    <t>Justin Thomas</t>
  </si>
  <si>
    <t>STU1199</t>
  </si>
  <si>
    <t>Lauren Walker</t>
  </si>
  <si>
    <t>STU1080</t>
  </si>
  <si>
    <t>Eric Harris</t>
  </si>
  <si>
    <t>STU1008</t>
  </si>
  <si>
    <t>Matthew Walker</t>
  </si>
  <si>
    <t>STU1275</t>
  </si>
  <si>
    <t>Samantha Taylor</t>
  </si>
  <si>
    <t>STU1234</t>
  </si>
  <si>
    <t>Sarah Lee</t>
  </si>
  <si>
    <t>STU1006</t>
  </si>
  <si>
    <t>Maria Martinez</t>
  </si>
  <si>
    <t>STU1266</t>
  </si>
  <si>
    <t>Nicole Thompson</t>
  </si>
  <si>
    <t>STU1172</t>
  </si>
  <si>
    <t>Kayla Thomas</t>
  </si>
  <si>
    <t>STU1248</t>
  </si>
  <si>
    <t>Joshua Williams</t>
  </si>
  <si>
    <t>STU1184</t>
  </si>
  <si>
    <t>Amanda Jackson</t>
  </si>
  <si>
    <t>STU1254</t>
  </si>
  <si>
    <t>Michael Lee</t>
  </si>
  <si>
    <t>STU1257</t>
  </si>
  <si>
    <t>Hannah Lee</t>
  </si>
  <si>
    <t>STU1166</t>
  </si>
  <si>
    <t>Sarah Thompson</t>
  </si>
  <si>
    <t>STU1188</t>
  </si>
  <si>
    <t>Eric Lopez</t>
  </si>
  <si>
    <t>STU1086</t>
  </si>
  <si>
    <t>Samantha Martinez</t>
  </si>
  <si>
    <t>STU1162</t>
  </si>
  <si>
    <t>Justin Moore</t>
  </si>
  <si>
    <t>STU1149</t>
  </si>
  <si>
    <t>David King</t>
  </si>
  <si>
    <t>STU1107</t>
  </si>
  <si>
    <t>Brandon Davis</t>
  </si>
  <si>
    <t>STU1071</t>
  </si>
  <si>
    <t>Elizabeth Clark</t>
  </si>
  <si>
    <t>STU1190</t>
  </si>
  <si>
    <t>Hannah Davis</t>
  </si>
  <si>
    <t>STU1123</t>
  </si>
  <si>
    <t>Jessica Lee</t>
  </si>
  <si>
    <t>STU1230</t>
  </si>
  <si>
    <t>Maria Wilson</t>
  </si>
  <si>
    <t>STU1052</t>
  </si>
  <si>
    <t>David Taylor</t>
  </si>
  <si>
    <t>STU1195</t>
  </si>
  <si>
    <t>Stephanie Thompson</t>
  </si>
  <si>
    <t>STU1075</t>
  </si>
  <si>
    <t>Christopher Davis</t>
  </si>
  <si>
    <t>STU1062</t>
  </si>
  <si>
    <t>Rachel Williams</t>
  </si>
  <si>
    <t>STU1083</t>
  </si>
  <si>
    <t>Stephanie Lee</t>
  </si>
  <si>
    <t>STU1069</t>
  </si>
  <si>
    <t>Ashley Moore</t>
  </si>
  <si>
    <t>STU1099</t>
  </si>
  <si>
    <t>Brian Walker</t>
  </si>
  <si>
    <t>STU1252</t>
  </si>
  <si>
    <t>Daniel Moore</t>
  </si>
  <si>
    <t>STU1207</t>
  </si>
  <si>
    <t>Lauren Miller</t>
  </si>
  <si>
    <t>STU1015</t>
  </si>
  <si>
    <t>Maria Lee</t>
  </si>
  <si>
    <t>STU1033</t>
  </si>
  <si>
    <t>David Martinez</t>
  </si>
  <si>
    <t>STU1036</t>
  </si>
  <si>
    <t>Stephanie Jones</t>
  </si>
  <si>
    <t>STU1059</t>
  </si>
  <si>
    <t>Tyler Garcia</t>
  </si>
  <si>
    <t>STU1041</t>
  </si>
  <si>
    <t>Ryan Johnson</t>
  </si>
  <si>
    <t>STU1260</t>
  </si>
  <si>
    <t>Elizabeth Jackson</t>
  </si>
  <si>
    <t>STU1092</t>
  </si>
  <si>
    <t>Maria Anderson</t>
  </si>
  <si>
    <t>STU1244</t>
  </si>
  <si>
    <t>Maria Taylor</t>
  </si>
  <si>
    <t>STU1198</t>
  </si>
  <si>
    <t>STU1205</t>
  </si>
  <si>
    <t>Nicole Moore</t>
  </si>
  <si>
    <t>STU1164</t>
  </si>
  <si>
    <t>Elizabeth Moore</t>
  </si>
  <si>
    <t>STU1095</t>
  </si>
  <si>
    <t>Eric Anderson</t>
  </si>
  <si>
    <t>STU1116</t>
  </si>
  <si>
    <t>David Miller</t>
  </si>
  <si>
    <t>STU1088</t>
  </si>
  <si>
    <t>Daniel Thomas</t>
  </si>
  <si>
    <t>STU1101</t>
  </si>
  <si>
    <t>Kevin Moore</t>
  </si>
  <si>
    <t>STU1158</t>
  </si>
  <si>
    <t>David Robinson</t>
  </si>
  <si>
    <t>STU1093</t>
  </si>
  <si>
    <t>Emily Hernandez</t>
  </si>
  <si>
    <t>STU1216</t>
  </si>
  <si>
    <t>Tyler Wilson</t>
  </si>
  <si>
    <t>STU1168</t>
  </si>
  <si>
    <t>Daniel Thompson</t>
  </si>
  <si>
    <t>STU1108</t>
  </si>
  <si>
    <t>STU1154</t>
  </si>
  <si>
    <t>Brian Garcia</t>
  </si>
  <si>
    <t>STU1268</t>
  </si>
  <si>
    <t>Megan Davis</t>
  </si>
  <si>
    <t>STU1269</t>
  </si>
  <si>
    <t>Hannah Walker</t>
  </si>
  <si>
    <t>STU1115</t>
  </si>
  <si>
    <t>Tyler Williams</t>
  </si>
  <si>
    <t>STU1228</t>
  </si>
  <si>
    <t>STU1126</t>
  </si>
  <si>
    <t>Stephanie Miller</t>
  </si>
  <si>
    <t>STU1023</t>
  </si>
  <si>
    <t>Justin Martin</t>
  </si>
  <si>
    <t>STU1014</t>
  </si>
  <si>
    <t>STU1189</t>
  </si>
  <si>
    <t>Nicole Robinson</t>
  </si>
  <si>
    <t>STU1122</t>
  </si>
  <si>
    <t>Megan Miller</t>
  </si>
  <si>
    <t>STU1165</t>
  </si>
  <si>
    <t>Nicole Lopez</t>
  </si>
  <si>
    <t>STU1279</t>
  </si>
  <si>
    <t>Megan Thomas</t>
  </si>
  <si>
    <t>STU1173</t>
  </si>
  <si>
    <t>Daniel Hernandez</t>
  </si>
  <si>
    <t>STU1035</t>
  </si>
  <si>
    <t>Eric Hernandez</t>
  </si>
  <si>
    <t>STU1117</t>
  </si>
  <si>
    <t>Justin Jones</t>
  </si>
  <si>
    <t>STU1111</t>
  </si>
  <si>
    <t>Lauren Martinez</t>
  </si>
  <si>
    <t>STU1133</t>
  </si>
  <si>
    <t>Rachel Rodriguez</t>
  </si>
  <si>
    <t>STU1049</t>
  </si>
  <si>
    <t>Rachel Allen</t>
  </si>
  <si>
    <t>STU1242</t>
  </si>
  <si>
    <t>Nicole Martin</t>
  </si>
  <si>
    <t>STU1040</t>
  </si>
  <si>
    <t>Emily Wilson</t>
  </si>
  <si>
    <t>STU1013</t>
  </si>
  <si>
    <t>Sarah Anderson</t>
  </si>
  <si>
    <t>STU1048</t>
  </si>
  <si>
    <t>Kayla Young</t>
  </si>
  <si>
    <t>STU1038</t>
  </si>
  <si>
    <t>Daniel Lee</t>
  </si>
  <si>
    <t>STU1061</t>
  </si>
  <si>
    <t>Matthew Martinez</t>
  </si>
  <si>
    <t>STU1225</t>
  </si>
  <si>
    <t>Stephanie Walker</t>
  </si>
  <si>
    <t>STU1212</t>
  </si>
  <si>
    <t>Daniel Davis</t>
  </si>
  <si>
    <t>STU1089</t>
  </si>
  <si>
    <t>Kayla White</t>
  </si>
  <si>
    <t>STU1179</t>
  </si>
  <si>
    <t>Kayla Martin</t>
  </si>
  <si>
    <t>STU1120</t>
  </si>
  <si>
    <t>STU1066</t>
  </si>
  <si>
    <t>Rachel King</t>
  </si>
  <si>
    <t>STU1233</t>
  </si>
  <si>
    <t>Samantha Lee</t>
  </si>
  <si>
    <t>STU1079</t>
  </si>
  <si>
    <t>Daniel Anderson</t>
  </si>
  <si>
    <t>STU1026</t>
  </si>
  <si>
    <t>Christopher Anderson</t>
  </si>
  <si>
    <t>STU1145</t>
  </si>
  <si>
    <t>Tyler Davis</t>
  </si>
  <si>
    <t>STU1109</t>
  </si>
  <si>
    <t>Kayla Rodriguez</t>
  </si>
  <si>
    <t>STU1217</t>
  </si>
  <si>
    <t>Elizabeth Lewis</t>
  </si>
  <si>
    <t>STU1110</t>
  </si>
  <si>
    <t>Elizabeth Hernandez</t>
  </si>
  <si>
    <t>STU1114</t>
  </si>
  <si>
    <t>Samantha Thomas</t>
  </si>
  <si>
    <t>STU1063</t>
  </si>
  <si>
    <t>Amanda Moore</t>
  </si>
  <si>
    <t>STU1098</t>
  </si>
  <si>
    <t>Ashley King</t>
  </si>
  <si>
    <t>STU1219</t>
  </si>
  <si>
    <t>Eric Brown</t>
  </si>
  <si>
    <t>STU1012</t>
  </si>
  <si>
    <t>Joshua White</t>
  </si>
  <si>
    <t>STU1011</t>
  </si>
  <si>
    <t>STU1100</t>
  </si>
  <si>
    <t>Kayla Davis</t>
  </si>
  <si>
    <t>STU1226</t>
  </si>
  <si>
    <t>Kevin Smith</t>
  </si>
  <si>
    <t>STU1272</t>
  </si>
  <si>
    <t>Michael Jones</t>
  </si>
  <si>
    <t>STU1192</t>
  </si>
  <si>
    <t>Eric King</t>
  </si>
  <si>
    <t>STU1135</t>
  </si>
  <si>
    <t>Stephanie Moore</t>
  </si>
  <si>
    <t>STU1030</t>
  </si>
  <si>
    <t>Brandon Young</t>
  </si>
  <si>
    <t>STU1267</t>
  </si>
  <si>
    <t>Brian Lewis</t>
  </si>
  <si>
    <t>STU1139</t>
  </si>
  <si>
    <t>STU1021</t>
  </si>
  <si>
    <t>Michael Anderson</t>
  </si>
  <si>
    <t>STU1203</t>
  </si>
  <si>
    <t>Kayla Brown</t>
  </si>
  <si>
    <t>STU1064</t>
  </si>
  <si>
    <t>Matthew Miller</t>
  </si>
  <si>
    <t>STU1136</t>
  </si>
  <si>
    <t>Lauren King</t>
  </si>
  <si>
    <t>STU1193</t>
  </si>
  <si>
    <t>Brandon Miller</t>
  </si>
  <si>
    <t>STU1143</t>
  </si>
  <si>
    <t>Justin Clark</t>
  </si>
  <si>
    <t>STU1202</t>
  </si>
  <si>
    <t>Jessica Moore</t>
  </si>
  <si>
    <t>STU1176</t>
  </si>
  <si>
    <t>Ashley Martin</t>
  </si>
  <si>
    <t>STU1215</t>
  </si>
  <si>
    <t>Sarah Brown</t>
  </si>
  <si>
    <t>STU1125</t>
  </si>
  <si>
    <t>Lauren Jones</t>
  </si>
  <si>
    <t>STU1251</t>
  </si>
  <si>
    <t>Samantha Johnson</t>
  </si>
  <si>
    <t>STU1277</t>
  </si>
  <si>
    <t>STU1241</t>
  </si>
  <si>
    <t>Stephanie Wilson</t>
  </si>
  <si>
    <t>STU1016</t>
  </si>
  <si>
    <t>Brian Lopez</t>
  </si>
  <si>
    <t>STU1147</t>
  </si>
  <si>
    <t>James Thompson</t>
  </si>
  <si>
    <t>STU1182</t>
  </si>
  <si>
    <t>Maria White</t>
  </si>
  <si>
    <t>STU1253</t>
  </si>
  <si>
    <t>Lauren Johnson</t>
  </si>
  <si>
    <t>STU1223</t>
  </si>
  <si>
    <t>STU1019</t>
  </si>
  <si>
    <t>David Harris</t>
  </si>
  <si>
    <t>STU1181</t>
  </si>
  <si>
    <t>Stephanie Martinez</t>
  </si>
  <si>
    <t>STU1085</t>
  </si>
  <si>
    <t>Michael Davis</t>
  </si>
  <si>
    <t>STU1047</t>
  </si>
  <si>
    <t>Amanda Thomas</t>
  </si>
  <si>
    <t>STU1056</t>
  </si>
  <si>
    <t>STU1232</t>
  </si>
  <si>
    <t>Maria Davis</t>
  </si>
  <si>
    <t>STU1027</t>
  </si>
  <si>
    <t>Justin Anderson</t>
  </si>
  <si>
    <t>STU1249</t>
  </si>
  <si>
    <t>Andrew Jackson</t>
  </si>
  <si>
    <t>STU1094</t>
  </si>
  <si>
    <t>STU1144</t>
  </si>
  <si>
    <t>Jessica Taylor</t>
  </si>
  <si>
    <t>STU1068</t>
  </si>
  <si>
    <t>STU1161</t>
  </si>
  <si>
    <t>Hannah Thompson</t>
  </si>
  <si>
    <t>STU1152</t>
  </si>
  <si>
    <t>James Lopez</t>
  </si>
  <si>
    <t>STU1206</t>
  </si>
  <si>
    <t>Ryan Miller</t>
  </si>
  <si>
    <t>STU1273</t>
  </si>
  <si>
    <t>David Williams</t>
  </si>
  <si>
    <t>STU1091</t>
  </si>
  <si>
    <t>Andrew Lewis</t>
  </si>
  <si>
    <t>STU1058</t>
  </si>
  <si>
    <t>Jessica Brown</t>
  </si>
  <si>
    <t>STU1131</t>
  </si>
  <si>
    <t>STU1073</t>
  </si>
  <si>
    <t>Matthew Lewis</t>
  </si>
  <si>
    <t>STU1045</t>
  </si>
  <si>
    <t>Rachel Moore</t>
  </si>
  <si>
    <t>STU1000</t>
  </si>
  <si>
    <t>Maria Miller</t>
  </si>
  <si>
    <t>STU1157</t>
  </si>
  <si>
    <t>Kevin Jones</t>
  </si>
  <si>
    <t>STU1187</t>
  </si>
  <si>
    <t>Stephanie Davis</t>
  </si>
  <si>
    <t>STU1081</t>
  </si>
  <si>
    <t>Andrew Thomas</t>
  </si>
  <si>
    <t>STU1169</t>
  </si>
  <si>
    <t>Hannah Moore</t>
  </si>
  <si>
    <t>STU1065</t>
  </si>
  <si>
    <t>Christopher Clark</t>
  </si>
  <si>
    <t>STU1084</t>
  </si>
  <si>
    <t>Matthew Johnson</t>
  </si>
  <si>
    <t>STU1118</t>
  </si>
  <si>
    <t>STU1103</t>
  </si>
  <si>
    <t>Ryan Walker</t>
  </si>
  <si>
    <t>STU1265</t>
  </si>
  <si>
    <t>Eric Lee</t>
  </si>
  <si>
    <t>STU1238</t>
  </si>
  <si>
    <t>Michael Moore</t>
  </si>
  <si>
    <t>STU1007</t>
  </si>
  <si>
    <t>Eric Rodriguez</t>
  </si>
  <si>
    <t>STU1130</t>
  </si>
  <si>
    <t>STU1024</t>
  </si>
  <si>
    <t>Stephanie Rodriguez</t>
  </si>
  <si>
    <t>STU1240</t>
  </si>
  <si>
    <t>Jessica Lewis</t>
  </si>
  <si>
    <t>STU1276</t>
  </si>
  <si>
    <t>Joshua Johnson</t>
  </si>
  <si>
    <t>STU1054</t>
  </si>
  <si>
    <t>David Rodriguez</t>
  </si>
  <si>
    <t>STU1140</t>
  </si>
  <si>
    <t>Daniel Allen</t>
  </si>
  <si>
    <t>STU1209</t>
  </si>
  <si>
    <t>Tyler Anderson</t>
  </si>
  <si>
    <t>STU1229</t>
  </si>
  <si>
    <t>Nicole Harris</t>
  </si>
  <si>
    <t>STU1004</t>
  </si>
  <si>
    <t>Brian Harris</t>
  </si>
  <si>
    <t>STU1174</t>
  </si>
  <si>
    <t>STU1263</t>
  </si>
  <si>
    <t>Amanda Hernandez</t>
  </si>
  <si>
    <t>STU1020</t>
  </si>
  <si>
    <t>Lauren Clark</t>
  </si>
  <si>
    <t>STU1028</t>
  </si>
  <si>
    <t>Joshua Miller</t>
  </si>
  <si>
    <t>STU1057</t>
  </si>
  <si>
    <t>Stephanie Lopez</t>
  </si>
  <si>
    <t>STU1196</t>
  </si>
  <si>
    <t>Michael Brown</t>
  </si>
  <si>
    <t>STU1001</t>
  </si>
  <si>
    <t>Justin Davis</t>
  </si>
  <si>
    <t>STU1002</t>
  </si>
  <si>
    <t>Kevin Davis</t>
  </si>
  <si>
    <t>STU1003</t>
  </si>
  <si>
    <t>Stephanie Jackson</t>
  </si>
  <si>
    <t>STU1005</t>
  </si>
  <si>
    <t>Jessica Martinez</t>
  </si>
  <si>
    <t>STU1010</t>
  </si>
  <si>
    <t>Elizabeth Miller</t>
  </si>
  <si>
    <t>STU1018</t>
  </si>
  <si>
    <t>Christopher Lopez</t>
  </si>
  <si>
    <t>STU1022</t>
  </si>
  <si>
    <t>Elizabeth Robinson</t>
  </si>
  <si>
    <t>STU1025</t>
  </si>
  <si>
    <t>Nicole Johnson</t>
  </si>
  <si>
    <t>STU1029</t>
  </si>
  <si>
    <t>Matthew Garcia</t>
  </si>
  <si>
    <t>STU1031</t>
  </si>
  <si>
    <t>Emily Jackson</t>
  </si>
  <si>
    <t>STU1032</t>
  </si>
  <si>
    <t>Eric Moore</t>
  </si>
  <si>
    <t>STU1034</t>
  </si>
  <si>
    <t>Ashley Brown</t>
  </si>
  <si>
    <t>STU1037</t>
  </si>
  <si>
    <t>Maria Garcia</t>
  </si>
  <si>
    <t>STU1039</t>
  </si>
  <si>
    <t>Justin Wilson</t>
  </si>
  <si>
    <t>Joshua Hernandez</t>
  </si>
  <si>
    <t>STU1043</t>
  </si>
  <si>
    <t>Kevin Robinson</t>
  </si>
  <si>
    <t>STU1044</t>
  </si>
  <si>
    <t>STU1046</t>
  </si>
  <si>
    <t>Daniel Lopez</t>
  </si>
  <si>
    <t>STU1051</t>
  </si>
  <si>
    <t>Maria Rodriguez</t>
  </si>
  <si>
    <t>STU1053</t>
  </si>
  <si>
    <t>Samantha Williams</t>
  </si>
  <si>
    <t>STU1055</t>
  </si>
  <si>
    <t>Kevin Thompson</t>
  </si>
  <si>
    <t>STU1060</t>
  </si>
  <si>
    <t>STU1067</t>
  </si>
  <si>
    <t>Kevin White</t>
  </si>
  <si>
    <t>STU1070</t>
  </si>
  <si>
    <t>Samantha Brown</t>
  </si>
  <si>
    <t>STU1072</t>
  </si>
  <si>
    <t>Ashley Thomas</t>
  </si>
  <si>
    <t>STU1074</t>
  </si>
  <si>
    <t>Justin Hernandez</t>
  </si>
  <si>
    <t>STU1076</t>
  </si>
  <si>
    <t>Samantha Jackson</t>
  </si>
  <si>
    <t>STU1077</t>
  </si>
  <si>
    <t>Matthew Rodriguez</t>
  </si>
  <si>
    <t>STU1078</t>
  </si>
  <si>
    <t>STU1082</t>
  </si>
  <si>
    <t>STU1087</t>
  </si>
  <si>
    <t>Ryan Jones</t>
  </si>
  <si>
    <t>STU1090</t>
  </si>
  <si>
    <t>Tyler Thomas</t>
  </si>
  <si>
    <t>STU1096</t>
  </si>
  <si>
    <t>Kayla Clark</t>
  </si>
  <si>
    <t>STU1097</t>
  </si>
  <si>
    <t>Samantha Thompson</t>
  </si>
  <si>
    <t>STU1102</t>
  </si>
  <si>
    <t>Andrew Wilson</t>
  </si>
  <si>
    <t>STU1104</t>
  </si>
  <si>
    <t>Kayla King</t>
  </si>
  <si>
    <t>STU1105</t>
  </si>
  <si>
    <t>Justin White</t>
  </si>
  <si>
    <t>STU1106</t>
  </si>
  <si>
    <t>Maria Johnson</t>
  </si>
  <si>
    <t>STU1112</t>
  </si>
  <si>
    <t>Christopher Hernandez</t>
  </si>
  <si>
    <t>STU1113</t>
  </si>
  <si>
    <t>Michael Walker</t>
  </si>
  <si>
    <t>STU1119</t>
  </si>
  <si>
    <t>Jessica Hernandez</t>
  </si>
  <si>
    <t>STU1121</t>
  </si>
  <si>
    <t>Joshua Young</t>
  </si>
  <si>
    <t>STU1124</t>
  </si>
  <si>
    <t>Brandon Walker</t>
  </si>
  <si>
    <t>STU1127</t>
  </si>
  <si>
    <t>Christopher Moore</t>
  </si>
  <si>
    <t>STU1128</t>
  </si>
  <si>
    <t>STU1129</t>
  </si>
  <si>
    <t>Ashley Lopez</t>
  </si>
  <si>
    <t>STU1132</t>
  </si>
  <si>
    <t>STU1134</t>
  </si>
  <si>
    <t>Ashley Jones</t>
  </si>
  <si>
    <t>STU1137</t>
  </si>
  <si>
    <t>STU1138</t>
  </si>
  <si>
    <t>STU1141</t>
  </si>
  <si>
    <t>STU1142</t>
  </si>
  <si>
    <t>Tyler Martin</t>
  </si>
  <si>
    <t>STU1146</t>
  </si>
  <si>
    <t>Michael Jackson</t>
  </si>
  <si>
    <t>STU1148</t>
  </si>
  <si>
    <t>Elizabeth Smith</t>
  </si>
  <si>
    <t>STU1150</t>
  </si>
  <si>
    <t>Emily Moore</t>
  </si>
  <si>
    <t>STU1151</t>
  </si>
  <si>
    <t>STU1153</t>
  </si>
  <si>
    <t>Kayla Taylor</t>
  </si>
  <si>
    <t>STU1155</t>
  </si>
  <si>
    <t>David Thomas</t>
  </si>
  <si>
    <t>STU1156</t>
  </si>
  <si>
    <t>STU1159</t>
  </si>
  <si>
    <t>STU1160</t>
  </si>
  <si>
    <t>Maria Robinson</t>
  </si>
  <si>
    <t>STU1163</t>
  </si>
  <si>
    <t>Brandon Hernandez</t>
  </si>
  <si>
    <t>STU1167</t>
  </si>
  <si>
    <t>Nicole Smith</t>
  </si>
  <si>
    <t>STU1170</t>
  </si>
  <si>
    <t>Lauren Rodriguez</t>
  </si>
  <si>
    <t>STU1175</t>
  </si>
  <si>
    <t>Brandon Garcia</t>
  </si>
  <si>
    <t>STU1178</t>
  </si>
  <si>
    <t>David Moore</t>
  </si>
  <si>
    <t>STU1180</t>
  </si>
  <si>
    <t>Daniel Wilson</t>
  </si>
  <si>
    <t>STU1183</t>
  </si>
  <si>
    <t>Ashley Miller</t>
  </si>
  <si>
    <t>STU1186</t>
  </si>
  <si>
    <t>Elizabeth Allen</t>
  </si>
  <si>
    <t>STU1191</t>
  </si>
  <si>
    <t>Ashley Clark</t>
  </si>
  <si>
    <t>STU1194</t>
  </si>
  <si>
    <t>David Wilson</t>
  </si>
  <si>
    <t>STU1197</t>
  </si>
  <si>
    <t>Matthew Wilson</t>
  </si>
  <si>
    <t>STU1200</t>
  </si>
  <si>
    <t>Hannah Miller</t>
  </si>
  <si>
    <t>STU1201</t>
  </si>
  <si>
    <t>Ashley Wilson</t>
  </si>
  <si>
    <t>STU1204</t>
  </si>
  <si>
    <t>Amanda Davis</t>
  </si>
  <si>
    <t>STU1208</t>
  </si>
  <si>
    <t>Christopher Thompson</t>
  </si>
  <si>
    <t>STU1210</t>
  </si>
  <si>
    <t>STU1211</t>
  </si>
  <si>
    <t>Brian Anderson</t>
  </si>
  <si>
    <t>STU1213</t>
  </si>
  <si>
    <t>Brian Williams</t>
  </si>
  <si>
    <t>STU1214</t>
  </si>
  <si>
    <t>Megan Smith</t>
  </si>
  <si>
    <t>STU1218</t>
  </si>
  <si>
    <t>Maria Harris</t>
  </si>
  <si>
    <t>STU1220</t>
  </si>
  <si>
    <t>Michael White</t>
  </si>
  <si>
    <t>STU1221</t>
  </si>
  <si>
    <t>STU1222</t>
  </si>
  <si>
    <t>Rachel Davis</t>
  </si>
  <si>
    <t>STU1224</t>
  </si>
  <si>
    <t>Andrew King</t>
  </si>
  <si>
    <t>STU1227</t>
  </si>
  <si>
    <t>Hannah Brown</t>
  </si>
  <si>
    <t>STU1231</t>
  </si>
  <si>
    <t>Lauren Lee</t>
  </si>
  <si>
    <t>STU1235</t>
  </si>
  <si>
    <t>Maria Lopez</t>
  </si>
  <si>
    <t>STU1236</t>
  </si>
  <si>
    <t>STU1237</t>
  </si>
  <si>
    <t>Andrew Martinez</t>
  </si>
  <si>
    <t>STU1239</t>
  </si>
  <si>
    <t>Nicole Young</t>
  </si>
  <si>
    <t>STU1243</t>
  </si>
  <si>
    <t>STU1245</t>
  </si>
  <si>
    <t>Samantha Jones</t>
  </si>
  <si>
    <t>STU1246</t>
  </si>
  <si>
    <t>STU1247</t>
  </si>
  <si>
    <t>Lauren Davis</t>
  </si>
  <si>
    <t>STU1250</t>
  </si>
  <si>
    <t>David Jones</t>
  </si>
  <si>
    <t>STU1255</t>
  </si>
  <si>
    <t>James Jones</t>
  </si>
  <si>
    <t>STU1256</t>
  </si>
  <si>
    <t>Tyler Lopez</t>
  </si>
  <si>
    <t>STU1258</t>
  </si>
  <si>
    <t>STU1259</t>
  </si>
  <si>
    <t>Ashley Jackson</t>
  </si>
  <si>
    <t>STU1261</t>
  </si>
  <si>
    <t>Michael Young</t>
  </si>
  <si>
    <t>STU1262</t>
  </si>
  <si>
    <t>STU1264</t>
  </si>
  <si>
    <t>Elizabeth Wilson</t>
  </si>
  <si>
    <t>STU1270</t>
  </si>
  <si>
    <t>Andrew Young</t>
  </si>
  <si>
    <t>STU1271</t>
  </si>
  <si>
    <t>Emily Williams</t>
  </si>
  <si>
    <t>STU1274</t>
  </si>
  <si>
    <t>STU1278</t>
  </si>
  <si>
    <t>Pivot: Outstanding Balance by Aging Bucket and Program</t>
  </si>
  <si>
    <t>Tip: Insert slicers via PivotTable Analyze &gt; Insert Slicer (Program)</t>
  </si>
  <si>
    <t>Column Labels</t>
  </si>
  <si>
    <t>Total Sum of Balance</t>
  </si>
  <si>
    <t>Total Count of Accounts</t>
  </si>
  <si>
    <t>Row Labels</t>
  </si>
  <si>
    <t>Sum of Balance</t>
  </si>
  <si>
    <t>Count of Accounts</t>
  </si>
  <si>
    <t>Paid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</si>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</sst>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"/>
    <numFmt numFmtId="165" formatCode="&quot;$&quot;#,##0.00"/>
    <numFmt numFmtId="166" formatCode="0.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242424"/>
      <name val="Aptos Narrow"/>
      <charset val="1"/>
    </font>
    <font>
      <sz val="9"/>
      <color rgb="FF141414"/>
      <name val="Consolas"/>
      <charset val="1"/>
    </font>
  </fonts>
  <fills count="4">
    <fill>
      <patternFill patternType="none"/>
    </fill>
    <fill>
      <patternFill patternType="gray125"/>
    </fill>
    <fill>
      <patternFill patternType="solid">
        <fgColor rgb="FFC47244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0" fontId="1" fillId="3" borderId="1" xfId="0" applyFont="1" applyFill="1" applyBorder="1"/>
    <xf numFmtId="0" fontId="0" fillId="3" borderId="0" xfId="0" applyFill="1" applyBorder="1"/>
    <xf numFmtId="165" fontId="0" fillId="3" borderId="1" xfId="0" applyNumberFormat="1" applyFill="1" applyBorder="1"/>
    <xf numFmtId="3" fontId="0" fillId="3" borderId="1" xfId="0" applyNumberFormat="1" applyFill="1" applyBorder="1"/>
    <xf numFmtId="166" fontId="0" fillId="0" borderId="0" xfId="0" applyNumberFormat="1"/>
    <xf numFmtId="166" fontId="0" fillId="3" borderId="1" xfId="0" applyNumberFormat="1" applyFill="1" applyBorder="1"/>
    <xf numFmtId="0" fontId="5" fillId="0" borderId="0" xfId="0" applyFont="1"/>
    <xf numFmtId="165" fontId="1" fillId="0" borderId="0" xfId="0" applyNumberFormat="1" applyFont="1"/>
    <xf numFmtId="166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6" fillId="0" borderId="0" xfId="0" applyFont="1"/>
    <xf numFmtId="0" fontId="4" fillId="0" borderId="0" xfId="0" applyFont="1" applyAlignment="1"/>
    <xf numFmtId="0" fontId="0" fillId="0" borderId="0" xfId="0" applyAlignment="1"/>
    <xf numFmtId="0" fontId="7" fillId="0" borderId="0" xfId="0" applyFont="1" applyAlignment="1"/>
  </cellXfs>
  <cellStyles count="1">
    <cellStyle name="Обычный" xfId="0" builtinId="0"/>
  </cellStyles>
  <dxfs count="5">
    <dxf>
      <alignment wrapText="1"/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colors>
    <mruColors>
      <color rgb="FFFC8B2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Dashboard!$D$8:$D$9</c:f>
              <c:strCache>
                <c:ptCount val="2"/>
                <c:pt idx="0">
                  <c:v>AR Aging Summary</c:v>
                </c:pt>
                <c:pt idx="1">
                  <c:v>% of Total Outstanding AR</c:v>
                </c:pt>
              </c:strCache>
            </c:strRef>
          </c:tx>
          <c:dPt>
            <c:idx val="0"/>
            <c:bubble3D val="0"/>
            <c:spPr>
              <a:solidFill>
                <a:srgbClr val="54823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21F-4DA2-9BDA-8D63F78110E5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221F-4DA2-9BDA-8D63F78110E5}"/>
              </c:ext>
            </c:extLst>
          </c:dPt>
          <c:dPt>
            <c:idx val="2"/>
            <c:bubble3D val="0"/>
            <c:spPr>
              <a:solidFill>
                <a:srgbClr val="FC8B2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21F-4DA2-9BDA-8D63F78110E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21F-4DA2-9BDA-8D63F78110E5}"/>
              </c:ext>
            </c:extLst>
          </c:dPt>
          <c:dLbls>
            <c:dLbl>
              <c:idx val="0"/>
              <c:layout>
                <c:manualLayout>
                  <c:x val="-4.37391402277113E-3"/>
                  <c:y val="2.2311940898211067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21F-4DA2-9BDA-8D63F78110E5}"/>
                </c:ext>
              </c:extLst>
            </c:dLbl>
            <c:dLbl>
              <c:idx val="1"/>
              <c:layout>
                <c:manualLayout>
                  <c:x val="-2.1995910404235462E-2"/>
                  <c:y val="1.4673501318138658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21F-4DA2-9BDA-8D63F78110E5}"/>
                </c:ext>
              </c:extLst>
            </c:dLbl>
            <c:dLbl>
              <c:idx val="2"/>
              <c:layout>
                <c:manualLayout>
                  <c:x val="0.45179675578653866"/>
                  <c:y val="-0.2727682150248085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21F-4DA2-9BDA-8D63F78110E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21F-4DA2-9BDA-8D63F78110E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Dashboard!$A$10:$A$13</c:f>
              <c:strCache>
                <c:ptCount val="4"/>
                <c:pt idx="0">
                  <c:v>1-30 Days</c:v>
                </c:pt>
                <c:pt idx="1">
                  <c:v>31-60 Days</c:v>
                </c:pt>
                <c:pt idx="2">
                  <c:v>61-90 Days</c:v>
                </c:pt>
                <c:pt idx="3">
                  <c:v>90+ Days</c:v>
                </c:pt>
              </c:strCache>
            </c:strRef>
          </c:cat>
          <c:val>
            <c:numRef>
              <c:f>Dashboard!$D$10:$D$13</c:f>
              <c:numCache>
                <c:formatCode>0.0%</c:formatCode>
                <c:ptCount val="4"/>
                <c:pt idx="0">
                  <c:v>3.2324498411188063E-2</c:v>
                </c:pt>
                <c:pt idx="1">
                  <c:v>0.15910467654891566</c:v>
                </c:pt>
                <c:pt idx="2">
                  <c:v>0.80857082503989641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943-4EBD-816D-FCD3D451708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657225</xdr:colOff>
      <xdr:row>13</xdr:row>
      <xdr:rowOff>95250</xdr:rowOff>
    </xdr:from>
    <xdr:to>
      <xdr:col>8</xdr:col>
      <xdr:colOff>409575</xdr:colOff>
      <xdr:row>28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E831B5D-6C47-4FF5-575D-E31A1C6EF9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2</xdr:row>
      <xdr:rowOff>114300</xdr:rowOff>
    </xdr:from>
    <xdr:to>
      <xdr:col>10</xdr:col>
      <xdr:colOff>276225</xdr:colOff>
      <xdr:row>5</xdr:row>
      <xdr:rowOff>161925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Program">
              <a:extLst>
                <a:ext uri="{FF2B5EF4-FFF2-40B4-BE49-F238E27FC236}">
                  <a16:creationId xmlns:a16="http://schemas.microsoft.com/office/drawing/2014/main" id="{CBB1BD2F-958E-7C22-4F7B-18AA5026F4A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gram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725" y="485775"/>
              <a:ext cx="9839325" cy="609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16.634522337961" createdVersion="6" refreshedVersion="8" minRefreshableVersion="3" recordCount="280" xr:uid="{C87D1B6A-C70C-4534-95EA-8F9EA4466F82}">
  <cacheSource type="worksheet">
    <worksheetSource ref="A1:N281" sheet="AR Ledger"/>
  </cacheSource>
  <cacheFields count="14">
    <cacheField name="StudentID" numFmtId="0">
      <sharedItems/>
    </cacheField>
    <cacheField name="StudentName" numFmtId="0">
      <sharedItems/>
    </cacheField>
    <cacheField name="Program" numFmtId="0">
      <sharedItems count="5">
        <s v="Nursing"/>
        <s v="Information Technology"/>
        <s v="Business Administration"/>
        <s v="Liberal Arts"/>
        <s v="Criminal Justice"/>
      </sharedItems>
    </cacheField>
    <cacheField name="Term" numFmtId="0">
      <sharedItems/>
    </cacheField>
    <cacheField name="CohortYear" numFmtId="0">
      <sharedItems containsSemiMixedTypes="0" containsString="0" containsNumber="1" containsInteger="1" minValue="2026" maxValue="2026"/>
    </cacheField>
    <cacheField name="InvoiceDate" numFmtId="164">
      <sharedItems containsSemiMixedTypes="0" containsNonDate="0" containsDate="1" containsString="0" minDate="2025-08-12T00:00:00" maxDate="2026-06-09T00:00:00"/>
    </cacheField>
    <cacheField name="DueDate" numFmtId="164">
      <sharedItems containsSemiMixedTypes="0" containsNonDate="0" containsDate="1" containsString="0" minDate="2026-07-07T00:00:00" maxDate="2026-07-08T00:00:00"/>
    </cacheField>
    <cacheField name="DueToDate_Amount" numFmtId="165">
      <sharedItems containsSemiMixedTypes="0" containsString="0" containsNumber="1" containsInteger="1" minValue="3705" maxValue="5422"/>
    </cacheField>
    <cacheField name="PaymentsApplied" numFmtId="165">
      <sharedItems containsSemiMixedTypes="0" containsString="0" containsNumber="1" minValue="16.47" maxValue="5290"/>
    </cacheField>
    <cacheField name="Balance" numFmtId="165">
      <sharedItems containsSemiMixedTypes="0" containsString="0" containsNumber="1" minValue="0" maxValue="5213.1000000000004"/>
    </cacheField>
    <cacheField name="OldestPastDueDate" numFmtId="164">
      <sharedItems containsSemiMixedTypes="0" containsNonDate="0" containsDate="1" containsString="0" minDate="2026-05-05T00:00:00" maxDate="2026-07-08T00:00:00"/>
    </cacheField>
    <cacheField name="DaysPastDue" numFmtId="0">
      <sharedItems containsSemiMixedTypes="0" containsString="0" containsNumber="1" containsInteger="1" minValue="0" maxValue="69"/>
    </cacheField>
    <cacheField name="AgingBucket" numFmtId="0">
      <sharedItems count="5">
        <s v="31-60 Days"/>
        <s v="61-90 Days"/>
        <s v="Paid"/>
        <s v="90+ Days" u="1"/>
        <s v="1-30 Days" u="1"/>
      </sharedItems>
    </cacheField>
    <cacheField name="PaymentPlanStatus" numFmtId="0">
      <sharedItems/>
    </cacheField>
  </cacheFields>
  <extLst>
    <ext xmlns:x14="http://schemas.microsoft.com/office/spreadsheetml/2009/9/main" uri="{725AE2AE-9491-48be-B2B4-4EB974FC3084}">
      <x14:pivotCacheDefinition pivotCacheId="57027360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0">
  <r>
    <s v="STU1177"/>
    <s v="David Jackson"/>
    <x v="0"/>
    <s v="Summer 2026"/>
    <n v="2026"/>
    <d v="2026-02-01T00:00:00"/>
    <d v="2026-07-07T00:00:00"/>
    <n v="5298"/>
    <n v="84.9"/>
    <n v="5213.1000000000004"/>
    <d v="2026-06-04T00:00:00"/>
    <n v="39"/>
    <x v="0"/>
    <s v="Not on Plan"/>
  </r>
  <r>
    <s v="STU1017"/>
    <s v="Rachel Martin"/>
    <x v="0"/>
    <s v="Summer 2026"/>
    <n v="2026"/>
    <d v="2025-09-06T00:00:00"/>
    <d v="2026-07-07T00:00:00"/>
    <n v="4975"/>
    <n v="136.13999999999999"/>
    <n v="4838.8599999999997"/>
    <d v="2026-06-04T00:00:00"/>
    <n v="39"/>
    <x v="0"/>
    <s v="Defaulted"/>
  </r>
  <r>
    <s v="STU1050"/>
    <s v="James Anderson"/>
    <x v="0"/>
    <s v="Summer 2026"/>
    <n v="2026"/>
    <d v="2025-09-09T00:00:00"/>
    <d v="2026-07-07T00:00:00"/>
    <n v="5075"/>
    <n v="257.35000000000002"/>
    <n v="4817.6499999999996"/>
    <d v="2026-06-04T00:00:00"/>
    <n v="39"/>
    <x v="0"/>
    <s v="On Plan"/>
  </r>
  <r>
    <s v="STU1171"/>
    <s v="Andrew Garcia"/>
    <x v="0"/>
    <s v="Summer 2026"/>
    <n v="2026"/>
    <d v="2026-01-20T00:00:00"/>
    <d v="2026-07-07T00:00:00"/>
    <n v="4828"/>
    <n v="62.25"/>
    <n v="4765.75"/>
    <d v="2026-06-04T00:00:00"/>
    <n v="39"/>
    <x v="0"/>
    <s v="Defaulted"/>
  </r>
  <r>
    <s v="STU1009"/>
    <s v="Elizabeth Williams"/>
    <x v="0"/>
    <s v="Summer 2026"/>
    <n v="2026"/>
    <d v="2026-01-21T00:00:00"/>
    <d v="2026-07-07T00:00:00"/>
    <n v="4765"/>
    <n v="17.48"/>
    <n v="4747.5200000000004"/>
    <d v="2026-06-04T00:00:00"/>
    <n v="39"/>
    <x v="0"/>
    <s v="On Plan"/>
  </r>
  <r>
    <s v="STU1185"/>
    <s v="Justin Thomas"/>
    <x v="0"/>
    <s v="Summer 2026"/>
    <n v="2026"/>
    <d v="2026-06-02T00:00:00"/>
    <d v="2026-07-07T00:00:00"/>
    <n v="4947"/>
    <n v="274.70999999999998"/>
    <n v="4672.29"/>
    <d v="2026-06-04T00:00:00"/>
    <n v="39"/>
    <x v="0"/>
    <s v="Not on Plan"/>
  </r>
  <r>
    <s v="STU1199"/>
    <s v="Lauren Walker"/>
    <x v="0"/>
    <s v="Summer 2026"/>
    <n v="2026"/>
    <d v="2026-01-16T00:00:00"/>
    <d v="2026-07-07T00:00:00"/>
    <n v="5286"/>
    <n v="639.33000000000004"/>
    <n v="4646.67"/>
    <d v="2026-06-04T00:00:00"/>
    <n v="39"/>
    <x v="0"/>
    <s v="On Plan"/>
  </r>
  <r>
    <s v="STU1080"/>
    <s v="Eric Harris"/>
    <x v="0"/>
    <s v="Summer 2026"/>
    <n v="2026"/>
    <d v="2026-01-16T00:00:00"/>
    <d v="2026-07-07T00:00:00"/>
    <n v="4653"/>
    <n v="56.62"/>
    <n v="4596.38"/>
    <d v="2026-06-04T00:00:00"/>
    <n v="39"/>
    <x v="0"/>
    <s v="Not on Plan"/>
  </r>
  <r>
    <s v="STU1008"/>
    <s v="Matthew Walker"/>
    <x v="0"/>
    <s v="Summer 2026"/>
    <n v="2026"/>
    <d v="2025-09-01T00:00:00"/>
    <d v="2026-07-07T00:00:00"/>
    <n v="5307"/>
    <n v="713.76"/>
    <n v="4593.24"/>
    <d v="2026-06-04T00:00:00"/>
    <n v="39"/>
    <x v="0"/>
    <s v="On Plan"/>
  </r>
  <r>
    <s v="STU1275"/>
    <s v="Samantha Taylor"/>
    <x v="0"/>
    <s v="Summer 2026"/>
    <n v="2026"/>
    <d v="2026-06-08T00:00:00"/>
    <d v="2026-07-07T00:00:00"/>
    <n v="4576"/>
    <n v="16.47"/>
    <n v="4559.53"/>
    <d v="2026-06-04T00:00:00"/>
    <n v="39"/>
    <x v="0"/>
    <s v="On Plan"/>
  </r>
  <r>
    <s v="STU1234"/>
    <s v="Sarah Lee"/>
    <x v="1"/>
    <s v="Summer 2026"/>
    <n v="2026"/>
    <d v="2025-09-07T00:00:00"/>
    <d v="2026-07-07T00:00:00"/>
    <n v="4635"/>
    <n v="100.05"/>
    <n v="4534.95"/>
    <d v="2026-06-04T00:00:00"/>
    <n v="39"/>
    <x v="0"/>
    <s v="Not on Plan"/>
  </r>
  <r>
    <s v="STU1006"/>
    <s v="Maria Martinez"/>
    <x v="0"/>
    <s v="Summer 2026"/>
    <n v="2026"/>
    <d v="2026-05-25T00:00:00"/>
    <d v="2026-07-07T00:00:00"/>
    <n v="4802"/>
    <n v="305.56"/>
    <n v="4496.4399999999996"/>
    <d v="2026-06-04T00:00:00"/>
    <n v="39"/>
    <x v="0"/>
    <s v="On Plan"/>
  </r>
  <r>
    <s v="STU1266"/>
    <s v="Nicole Thompson"/>
    <x v="1"/>
    <s v="Summer 2026"/>
    <n v="2026"/>
    <d v="2026-01-20T00:00:00"/>
    <d v="2026-07-07T00:00:00"/>
    <n v="4741"/>
    <n v="260.17"/>
    <n v="4480.83"/>
    <d v="2026-06-04T00:00:00"/>
    <n v="39"/>
    <x v="0"/>
    <s v="Not on Plan"/>
  </r>
  <r>
    <s v="STU1172"/>
    <s v="Kayla Thomas"/>
    <x v="0"/>
    <s v="Summer 2026"/>
    <n v="2026"/>
    <d v="2026-06-02T00:00:00"/>
    <d v="2026-07-07T00:00:00"/>
    <n v="5400"/>
    <n v="920.41"/>
    <n v="4479.59"/>
    <d v="2026-06-04T00:00:00"/>
    <n v="39"/>
    <x v="0"/>
    <s v="Not on Plan"/>
  </r>
  <r>
    <s v="STU1248"/>
    <s v="Joshua Williams"/>
    <x v="0"/>
    <s v="Summer 2026"/>
    <n v="2026"/>
    <d v="2026-01-04T00:00:00"/>
    <d v="2026-07-07T00:00:00"/>
    <n v="5223"/>
    <n v="747.38"/>
    <n v="4475.62"/>
    <d v="2026-06-04T00:00:00"/>
    <n v="39"/>
    <x v="0"/>
    <s v="On Plan"/>
  </r>
  <r>
    <s v="STU1184"/>
    <s v="Amanda Jackson"/>
    <x v="2"/>
    <s v="Summer 2026"/>
    <n v="2026"/>
    <d v="2026-05-08T00:00:00"/>
    <d v="2026-07-07T00:00:00"/>
    <n v="4401"/>
    <n v="18.98"/>
    <n v="4382.0200000000004"/>
    <d v="2026-06-04T00:00:00"/>
    <n v="39"/>
    <x v="0"/>
    <s v="Not on Plan"/>
  </r>
  <r>
    <s v="STU1254"/>
    <s v="Michael Lee"/>
    <x v="1"/>
    <s v="Summer 2026"/>
    <n v="2026"/>
    <d v="2025-08-13T00:00:00"/>
    <d v="2026-07-07T00:00:00"/>
    <n v="4545"/>
    <n v="179.88"/>
    <n v="4365.12"/>
    <d v="2026-06-04T00:00:00"/>
    <n v="39"/>
    <x v="0"/>
    <s v="On Plan"/>
  </r>
  <r>
    <s v="STU1257"/>
    <s v="Hannah Lee"/>
    <x v="1"/>
    <s v="Summer 2026"/>
    <n v="2026"/>
    <d v="2025-08-24T00:00:00"/>
    <d v="2026-07-07T00:00:00"/>
    <n v="4555"/>
    <n v="194.44"/>
    <n v="4360.5600000000004"/>
    <d v="2026-06-04T00:00:00"/>
    <n v="39"/>
    <x v="0"/>
    <s v="Defaulted"/>
  </r>
  <r>
    <s v="STU1166"/>
    <s v="Sarah Thompson"/>
    <x v="1"/>
    <s v="Summer 2026"/>
    <n v="2026"/>
    <d v="2026-05-06T00:00:00"/>
    <d v="2026-07-07T00:00:00"/>
    <n v="4549"/>
    <n v="227.11"/>
    <n v="4321.8900000000003"/>
    <d v="2026-05-05T00:00:00"/>
    <n v="69"/>
    <x v="1"/>
    <s v="Not on Plan"/>
  </r>
  <r>
    <s v="STU1188"/>
    <s v="Eric Lopez"/>
    <x v="1"/>
    <s v="Summer 2026"/>
    <n v="2026"/>
    <d v="2026-01-30T00:00:00"/>
    <d v="2026-07-07T00:00:00"/>
    <n v="4417"/>
    <n v="137.18"/>
    <n v="4279.82"/>
    <d v="2026-05-05T00:00:00"/>
    <n v="69"/>
    <x v="1"/>
    <s v="Not on Plan"/>
  </r>
  <r>
    <s v="STU1086"/>
    <s v="Samantha Martinez"/>
    <x v="3"/>
    <s v="Summer 2026"/>
    <n v="2026"/>
    <d v="2026-05-05T00:00:00"/>
    <d v="2026-07-07T00:00:00"/>
    <n v="4470"/>
    <n v="195.73"/>
    <n v="4274.2700000000004"/>
    <d v="2026-05-05T00:00:00"/>
    <n v="69"/>
    <x v="1"/>
    <s v="On Plan"/>
  </r>
  <r>
    <s v="STU1162"/>
    <s v="Justin Moore"/>
    <x v="0"/>
    <s v="Summer 2026"/>
    <n v="2026"/>
    <d v="2026-05-10T00:00:00"/>
    <d v="2026-07-07T00:00:00"/>
    <n v="5105"/>
    <n v="837.97"/>
    <n v="4267.03"/>
    <d v="2026-05-05T00:00:00"/>
    <n v="69"/>
    <x v="1"/>
    <s v="Not on Plan"/>
  </r>
  <r>
    <s v="STU1149"/>
    <s v="David King"/>
    <x v="1"/>
    <s v="Summer 2026"/>
    <n v="2026"/>
    <d v="2026-01-10T00:00:00"/>
    <d v="2026-07-07T00:00:00"/>
    <n v="4509"/>
    <n v="354.48"/>
    <n v="4154.5200000000004"/>
    <d v="2026-05-05T00:00:00"/>
    <n v="69"/>
    <x v="1"/>
    <s v="Defaulted"/>
  </r>
  <r>
    <s v="STU1107"/>
    <s v="Brandon Davis"/>
    <x v="1"/>
    <s v="Summer 2026"/>
    <n v="2026"/>
    <d v="2026-05-23T00:00:00"/>
    <d v="2026-07-07T00:00:00"/>
    <n v="4352"/>
    <n v="227.91"/>
    <n v="4124.09"/>
    <d v="2026-05-05T00:00:00"/>
    <n v="69"/>
    <x v="1"/>
    <s v="Not on Plan"/>
  </r>
  <r>
    <s v="STU1071"/>
    <s v="Elizabeth Clark"/>
    <x v="2"/>
    <s v="Summer 2026"/>
    <n v="2026"/>
    <d v="2026-01-23T00:00:00"/>
    <d v="2026-07-07T00:00:00"/>
    <n v="4349"/>
    <n v="331.25"/>
    <n v="4017.75"/>
    <d v="2026-05-05T00:00:00"/>
    <n v="69"/>
    <x v="1"/>
    <s v="On Plan"/>
  </r>
  <r>
    <s v="STU1190"/>
    <s v="Hannah Davis"/>
    <x v="1"/>
    <s v="Summer 2026"/>
    <n v="2026"/>
    <d v="2025-08-27T00:00:00"/>
    <d v="2026-07-07T00:00:00"/>
    <n v="4661"/>
    <n v="671.66"/>
    <n v="3989.34"/>
    <d v="2026-05-05T00:00:00"/>
    <n v="69"/>
    <x v="1"/>
    <s v="On Plan"/>
  </r>
  <r>
    <s v="STU1123"/>
    <s v="Jessica Lee"/>
    <x v="1"/>
    <s v="Summer 2026"/>
    <n v="2026"/>
    <d v="2025-08-29T00:00:00"/>
    <d v="2026-07-07T00:00:00"/>
    <n v="4721"/>
    <n v="769.91"/>
    <n v="3951.09"/>
    <d v="2026-05-05T00:00:00"/>
    <n v="69"/>
    <x v="1"/>
    <s v="Defaulted"/>
  </r>
  <r>
    <s v="STU1230"/>
    <s v="Maria Wilson"/>
    <x v="4"/>
    <s v="Summer 2026"/>
    <n v="2026"/>
    <d v="2026-06-08T00:00:00"/>
    <d v="2026-07-07T00:00:00"/>
    <n v="4001"/>
    <n v="54"/>
    <n v="3947"/>
    <d v="2026-05-05T00:00:00"/>
    <n v="69"/>
    <x v="1"/>
    <s v="On Plan"/>
  </r>
  <r>
    <s v="STU1052"/>
    <s v="David Taylor"/>
    <x v="1"/>
    <s v="Summer 2026"/>
    <n v="2026"/>
    <d v="2026-06-01T00:00:00"/>
    <d v="2026-07-07T00:00:00"/>
    <n v="4865"/>
    <n v="919.32"/>
    <n v="3945.68"/>
    <d v="2026-05-05T00:00:00"/>
    <n v="69"/>
    <x v="1"/>
    <s v="On Plan"/>
  </r>
  <r>
    <s v="STU1195"/>
    <s v="Stephanie Thompson"/>
    <x v="0"/>
    <s v="Summer 2026"/>
    <n v="2026"/>
    <d v="2025-09-01T00:00:00"/>
    <d v="2026-07-07T00:00:00"/>
    <n v="5370"/>
    <n v="1451.39"/>
    <n v="3918.6099999999997"/>
    <d v="2026-05-05T00:00:00"/>
    <n v="69"/>
    <x v="1"/>
    <s v="Not on Plan"/>
  </r>
  <r>
    <s v="STU1075"/>
    <s v="Christopher Davis"/>
    <x v="0"/>
    <s v="Summer 2026"/>
    <n v="2026"/>
    <d v="2026-06-03T00:00:00"/>
    <d v="2026-07-07T00:00:00"/>
    <n v="5422"/>
    <n v="1529.23"/>
    <n v="3892.77"/>
    <d v="2026-05-05T00:00:00"/>
    <n v="69"/>
    <x v="1"/>
    <s v="On Plan"/>
  </r>
  <r>
    <s v="STU1062"/>
    <s v="Rachel Williams"/>
    <x v="3"/>
    <s v="Summer 2026"/>
    <n v="2026"/>
    <d v="2026-01-22T00:00:00"/>
    <d v="2026-07-07T00:00:00"/>
    <n v="3947"/>
    <n v="62.72"/>
    <n v="3884.28"/>
    <d v="2026-05-05T00:00:00"/>
    <n v="69"/>
    <x v="1"/>
    <s v="Not on Plan"/>
  </r>
  <r>
    <s v="STU1083"/>
    <s v="Stephanie Lee"/>
    <x v="1"/>
    <s v="Summer 2026"/>
    <n v="2026"/>
    <d v="2025-09-07T00:00:00"/>
    <d v="2026-07-07T00:00:00"/>
    <n v="4542"/>
    <n v="663.83"/>
    <n v="3878.17"/>
    <d v="2026-05-05T00:00:00"/>
    <n v="69"/>
    <x v="1"/>
    <s v="On Plan"/>
  </r>
  <r>
    <s v="STU1069"/>
    <s v="Ashley Moore"/>
    <x v="4"/>
    <s v="Summer 2026"/>
    <n v="2026"/>
    <d v="2026-05-10T00:00:00"/>
    <d v="2026-07-07T00:00:00"/>
    <n v="3940"/>
    <n v="82.5"/>
    <n v="3857.5"/>
    <d v="2026-05-05T00:00:00"/>
    <n v="69"/>
    <x v="1"/>
    <s v="Not on Plan"/>
  </r>
  <r>
    <s v="STU1099"/>
    <s v="Brian Walker"/>
    <x v="1"/>
    <s v="Summer 2026"/>
    <n v="2026"/>
    <d v="2026-06-08T00:00:00"/>
    <d v="2026-07-07T00:00:00"/>
    <n v="4248"/>
    <n v="393.54"/>
    <n v="3854.46"/>
    <d v="2026-05-05T00:00:00"/>
    <n v="69"/>
    <x v="1"/>
    <s v="Not on Plan"/>
  </r>
  <r>
    <s v="STU1252"/>
    <s v="Daniel Moore"/>
    <x v="0"/>
    <s v="Summer 2026"/>
    <n v="2026"/>
    <d v="2026-05-27T00:00:00"/>
    <d v="2026-07-07T00:00:00"/>
    <n v="5408"/>
    <n v="1554.48"/>
    <n v="3853.52"/>
    <d v="2026-05-05T00:00:00"/>
    <n v="69"/>
    <x v="1"/>
    <s v="On Plan"/>
  </r>
  <r>
    <s v="STU1207"/>
    <s v="Lauren Miller"/>
    <x v="1"/>
    <s v="Summer 2026"/>
    <n v="2026"/>
    <d v="2026-05-10T00:00:00"/>
    <d v="2026-07-07T00:00:00"/>
    <n v="4244"/>
    <n v="405.17"/>
    <n v="3838.83"/>
    <d v="2026-05-05T00:00:00"/>
    <n v="69"/>
    <x v="1"/>
    <s v="On Plan"/>
  </r>
  <r>
    <s v="STU1015"/>
    <s v="Maria Lee"/>
    <x v="2"/>
    <s v="Summer 2026"/>
    <n v="2026"/>
    <d v="2026-01-24T00:00:00"/>
    <d v="2026-07-07T00:00:00"/>
    <n v="3941"/>
    <n v="107.42"/>
    <n v="3833.58"/>
    <d v="2026-05-05T00:00:00"/>
    <n v="69"/>
    <x v="1"/>
    <s v="Not on Plan"/>
  </r>
  <r>
    <s v="STU1033"/>
    <s v="David Martinez"/>
    <x v="2"/>
    <s v="Summer 2026"/>
    <n v="2026"/>
    <d v="2026-06-02T00:00:00"/>
    <d v="2026-07-07T00:00:00"/>
    <n v="4097"/>
    <n v="275.83999999999997"/>
    <n v="3821.16"/>
    <d v="2026-05-05T00:00:00"/>
    <n v="69"/>
    <x v="1"/>
    <s v="Not on Plan"/>
  </r>
  <r>
    <s v="STU1036"/>
    <s v="Stephanie Jones"/>
    <x v="1"/>
    <s v="Summer 2026"/>
    <n v="2026"/>
    <d v="2026-01-06T00:00:00"/>
    <d v="2026-07-07T00:00:00"/>
    <n v="4317"/>
    <n v="522.47"/>
    <n v="3794.5299999999997"/>
    <d v="2026-05-05T00:00:00"/>
    <n v="69"/>
    <x v="1"/>
    <s v="On Plan"/>
  </r>
  <r>
    <s v="STU1059"/>
    <s v="Tyler Garcia"/>
    <x v="1"/>
    <s v="Summer 2026"/>
    <n v="2026"/>
    <d v="2026-01-27T00:00:00"/>
    <d v="2026-07-07T00:00:00"/>
    <n v="4444"/>
    <n v="679.29"/>
    <n v="3764.71"/>
    <d v="2026-05-05T00:00:00"/>
    <n v="69"/>
    <x v="1"/>
    <s v="On Plan"/>
  </r>
  <r>
    <s v="STU1041"/>
    <s v="Ryan Johnson"/>
    <x v="0"/>
    <s v="Summer 2026"/>
    <n v="2026"/>
    <d v="2026-05-13T00:00:00"/>
    <d v="2026-07-07T00:00:00"/>
    <n v="5072"/>
    <n v="1311.64"/>
    <n v="3760.3599999999997"/>
    <d v="2026-05-05T00:00:00"/>
    <n v="69"/>
    <x v="1"/>
    <s v="On Plan"/>
  </r>
  <r>
    <s v="STU1260"/>
    <s v="Elizabeth Jackson"/>
    <x v="2"/>
    <s v="Summer 2026"/>
    <n v="2026"/>
    <d v="2026-01-25T00:00:00"/>
    <d v="2026-07-07T00:00:00"/>
    <n v="4165"/>
    <n v="462.53"/>
    <n v="3702.4700000000003"/>
    <d v="2026-05-05T00:00:00"/>
    <n v="69"/>
    <x v="1"/>
    <s v="On Plan"/>
  </r>
  <r>
    <s v="STU1092"/>
    <s v="Maria Anderson"/>
    <x v="3"/>
    <s v="Summer 2026"/>
    <n v="2026"/>
    <d v="2025-09-07T00:00:00"/>
    <d v="2026-07-07T00:00:00"/>
    <n v="4042"/>
    <n v="348.17"/>
    <n v="3693.83"/>
    <d v="2026-05-05T00:00:00"/>
    <n v="69"/>
    <x v="1"/>
    <s v="Not on Plan"/>
  </r>
  <r>
    <s v="STU1244"/>
    <s v="Maria Taylor"/>
    <x v="2"/>
    <s v="Summer 2026"/>
    <n v="2026"/>
    <d v="2025-08-19T00:00:00"/>
    <d v="2026-07-07T00:00:00"/>
    <n v="3987"/>
    <n v="294.31"/>
    <n v="3692.69"/>
    <d v="2026-05-05T00:00:00"/>
    <n v="69"/>
    <x v="1"/>
    <s v="Defaulted"/>
  </r>
  <r>
    <s v="STU1198"/>
    <s v="Justin Moore"/>
    <x v="4"/>
    <s v="Summer 2026"/>
    <n v="2026"/>
    <d v="2025-09-09T00:00:00"/>
    <d v="2026-07-07T00:00:00"/>
    <n v="4146"/>
    <n v="465.47"/>
    <n v="3680.5299999999997"/>
    <d v="2026-05-05T00:00:00"/>
    <n v="69"/>
    <x v="1"/>
    <s v="Not on Plan"/>
  </r>
  <r>
    <s v="STU1205"/>
    <s v="Nicole Moore"/>
    <x v="4"/>
    <s v="Summer 2026"/>
    <n v="2026"/>
    <d v="2026-01-26T00:00:00"/>
    <d v="2026-07-07T00:00:00"/>
    <n v="4076"/>
    <n v="395.48"/>
    <n v="3680.52"/>
    <d v="2026-05-05T00:00:00"/>
    <n v="69"/>
    <x v="1"/>
    <s v="On Plan"/>
  </r>
  <r>
    <s v="STU1164"/>
    <s v="Elizabeth Moore"/>
    <x v="2"/>
    <s v="Summer 2026"/>
    <n v="2026"/>
    <d v="2026-06-06T00:00:00"/>
    <d v="2026-07-07T00:00:00"/>
    <n v="3991"/>
    <n v="342.66"/>
    <n v="3648.34"/>
    <d v="2026-05-05T00:00:00"/>
    <n v="69"/>
    <x v="1"/>
    <s v="On Plan"/>
  </r>
  <r>
    <s v="STU1095"/>
    <s v="Eric Anderson"/>
    <x v="1"/>
    <s v="Summer 2026"/>
    <n v="2026"/>
    <d v="2026-01-28T00:00:00"/>
    <d v="2026-07-07T00:00:00"/>
    <n v="4651"/>
    <n v="1003.55"/>
    <n v="3647.45"/>
    <d v="2026-05-05T00:00:00"/>
    <n v="69"/>
    <x v="1"/>
    <s v="Not on Plan"/>
  </r>
  <r>
    <s v="STU1116"/>
    <s v="David Miller"/>
    <x v="4"/>
    <s v="Summer 2026"/>
    <n v="2026"/>
    <d v="2026-06-07T00:00:00"/>
    <d v="2026-07-07T00:00:00"/>
    <n v="4081"/>
    <n v="437.11"/>
    <n v="3643.89"/>
    <d v="2026-05-05T00:00:00"/>
    <n v="69"/>
    <x v="1"/>
    <s v="On Plan"/>
  </r>
  <r>
    <s v="STU1088"/>
    <s v="Daniel Thomas"/>
    <x v="3"/>
    <s v="Summer 2026"/>
    <n v="2026"/>
    <d v="2026-01-18T00:00:00"/>
    <d v="2026-07-07T00:00:00"/>
    <n v="4300"/>
    <n v="660.31"/>
    <n v="3639.69"/>
    <d v="2026-05-05T00:00:00"/>
    <n v="69"/>
    <x v="1"/>
    <s v="On Plan"/>
  </r>
  <r>
    <s v="STU1101"/>
    <s v="Kevin Moore"/>
    <x v="4"/>
    <s v="Summer 2026"/>
    <n v="2026"/>
    <d v="2026-05-06T00:00:00"/>
    <d v="2026-07-07T00:00:00"/>
    <n v="4092"/>
    <n v="459.05"/>
    <n v="3632.95"/>
    <d v="2026-05-05T00:00:00"/>
    <n v="69"/>
    <x v="1"/>
    <s v="On Plan"/>
  </r>
  <r>
    <s v="STU1158"/>
    <s v="David Robinson"/>
    <x v="4"/>
    <s v="Summer 2026"/>
    <n v="2026"/>
    <d v="2026-05-17T00:00:00"/>
    <d v="2026-07-07T00:00:00"/>
    <n v="4082"/>
    <n v="469.56"/>
    <n v="3612.44"/>
    <d v="2026-05-05T00:00:00"/>
    <n v="69"/>
    <x v="1"/>
    <s v="On Plan"/>
  </r>
  <r>
    <s v="STU1093"/>
    <s v="Emily Hernandez"/>
    <x v="4"/>
    <s v="Summer 2026"/>
    <n v="2026"/>
    <d v="2026-01-11T00:00:00"/>
    <d v="2026-07-07T00:00:00"/>
    <n v="4020"/>
    <n v="418.43"/>
    <n v="3601.57"/>
    <d v="2026-05-05T00:00:00"/>
    <n v="69"/>
    <x v="1"/>
    <s v="Not on Plan"/>
  </r>
  <r>
    <s v="STU1216"/>
    <s v="Tyler Wilson"/>
    <x v="2"/>
    <s v="Summer 2026"/>
    <n v="2026"/>
    <d v="2025-08-25T00:00:00"/>
    <d v="2026-07-07T00:00:00"/>
    <n v="4095"/>
    <n v="508.48"/>
    <n v="3586.52"/>
    <d v="2026-05-05T00:00:00"/>
    <n v="69"/>
    <x v="1"/>
    <s v="Not on Plan"/>
  </r>
  <r>
    <s v="STU1168"/>
    <s v="Daniel Thompson"/>
    <x v="2"/>
    <s v="Summer 2026"/>
    <n v="2026"/>
    <d v="2025-08-18T00:00:00"/>
    <d v="2026-07-07T00:00:00"/>
    <n v="3855"/>
    <n v="269.69"/>
    <n v="3585.31"/>
    <d v="2026-05-05T00:00:00"/>
    <n v="69"/>
    <x v="1"/>
    <s v="Defaulted"/>
  </r>
  <r>
    <s v="STU1108"/>
    <s v="Rachel Martin"/>
    <x v="4"/>
    <s v="Summer 2026"/>
    <n v="2026"/>
    <d v="2025-08-18T00:00:00"/>
    <d v="2026-07-07T00:00:00"/>
    <n v="3958"/>
    <n v="374.1"/>
    <n v="3583.9"/>
    <d v="2026-05-05T00:00:00"/>
    <n v="69"/>
    <x v="1"/>
    <s v="Not on Plan"/>
  </r>
  <r>
    <s v="STU1154"/>
    <s v="Brian Garcia"/>
    <x v="2"/>
    <s v="Summer 2026"/>
    <n v="2026"/>
    <d v="2025-09-14T00:00:00"/>
    <d v="2026-07-07T00:00:00"/>
    <n v="3863"/>
    <n v="285.73"/>
    <n v="3577.27"/>
    <d v="2026-05-05T00:00:00"/>
    <n v="69"/>
    <x v="1"/>
    <s v="On Plan"/>
  </r>
  <r>
    <s v="STU1268"/>
    <s v="Megan Davis"/>
    <x v="4"/>
    <s v="Summer 2026"/>
    <n v="2026"/>
    <d v="2026-05-12T00:00:00"/>
    <d v="2026-07-07T00:00:00"/>
    <n v="4095"/>
    <n v="527.85"/>
    <n v="3567.15"/>
    <d v="2026-05-05T00:00:00"/>
    <n v="69"/>
    <x v="1"/>
    <s v="Not on Plan"/>
  </r>
  <r>
    <s v="STU1269"/>
    <s v="Hannah Walker"/>
    <x v="2"/>
    <s v="Summer 2026"/>
    <n v="2026"/>
    <d v="2026-05-28T00:00:00"/>
    <d v="2026-07-07T00:00:00"/>
    <n v="4016"/>
    <n v="454.02"/>
    <n v="3561.98"/>
    <d v="2026-05-05T00:00:00"/>
    <n v="69"/>
    <x v="1"/>
    <s v="On Plan"/>
  </r>
  <r>
    <s v="STU1115"/>
    <s v="Tyler Williams"/>
    <x v="4"/>
    <s v="Summer 2026"/>
    <n v="2026"/>
    <d v="2026-05-05T00:00:00"/>
    <d v="2026-07-07T00:00:00"/>
    <n v="3765"/>
    <n v="204.98"/>
    <n v="3560.02"/>
    <d v="2026-05-05T00:00:00"/>
    <n v="69"/>
    <x v="1"/>
    <s v="On Plan"/>
  </r>
  <r>
    <s v="STU1228"/>
    <s v="Jessica Lee"/>
    <x v="1"/>
    <s v="Summer 2026"/>
    <n v="2026"/>
    <d v="2026-01-15T00:00:00"/>
    <d v="2026-07-07T00:00:00"/>
    <n v="4687"/>
    <n v="1133.04"/>
    <n v="3553.96"/>
    <d v="2026-05-05T00:00:00"/>
    <n v="69"/>
    <x v="1"/>
    <s v="On Plan"/>
  </r>
  <r>
    <s v="STU1126"/>
    <s v="Stephanie Miller"/>
    <x v="0"/>
    <s v="Summer 2026"/>
    <n v="2026"/>
    <d v="2026-01-15T00:00:00"/>
    <d v="2026-07-07T00:00:00"/>
    <n v="5131"/>
    <n v="1595.11"/>
    <n v="3535.8900000000003"/>
    <d v="2026-05-05T00:00:00"/>
    <n v="69"/>
    <x v="1"/>
    <s v="On Plan"/>
  </r>
  <r>
    <s v="STU1023"/>
    <s v="Justin Martin"/>
    <x v="2"/>
    <s v="Summer 2026"/>
    <n v="2026"/>
    <d v="2026-01-07T00:00:00"/>
    <d v="2026-07-07T00:00:00"/>
    <n v="4083"/>
    <n v="587.72"/>
    <n v="3495.2799999999997"/>
    <d v="2026-05-05T00:00:00"/>
    <n v="69"/>
    <x v="1"/>
    <s v="Not on Plan"/>
  </r>
  <r>
    <s v="STU1014"/>
    <s v="Maria Taylor"/>
    <x v="0"/>
    <s v="Summer 2026"/>
    <n v="2026"/>
    <d v="2026-01-30T00:00:00"/>
    <d v="2026-07-07T00:00:00"/>
    <n v="5318"/>
    <n v="1823.71"/>
    <n v="3494.29"/>
    <d v="2026-05-05T00:00:00"/>
    <n v="69"/>
    <x v="1"/>
    <s v="Not on Plan"/>
  </r>
  <r>
    <s v="STU1189"/>
    <s v="Nicole Robinson"/>
    <x v="1"/>
    <s v="Summer 2026"/>
    <n v="2026"/>
    <d v="2026-06-02T00:00:00"/>
    <d v="2026-07-07T00:00:00"/>
    <n v="4640"/>
    <n v="1155.2"/>
    <n v="3484.8"/>
    <d v="2026-05-05T00:00:00"/>
    <n v="69"/>
    <x v="1"/>
    <s v="On Plan"/>
  </r>
  <r>
    <s v="STU1122"/>
    <s v="Megan Miller"/>
    <x v="4"/>
    <s v="Summer 2026"/>
    <n v="2026"/>
    <d v="2026-01-29T00:00:00"/>
    <d v="2026-07-07T00:00:00"/>
    <n v="4152"/>
    <n v="672.48"/>
    <n v="3479.52"/>
    <d v="2026-05-05T00:00:00"/>
    <n v="69"/>
    <x v="1"/>
    <s v="On Plan"/>
  </r>
  <r>
    <s v="STU1165"/>
    <s v="Nicole Lopez"/>
    <x v="2"/>
    <s v="Summer 2026"/>
    <n v="2026"/>
    <d v="2026-01-16T00:00:00"/>
    <d v="2026-07-07T00:00:00"/>
    <n v="4108"/>
    <n v="670.13"/>
    <n v="3437.87"/>
    <d v="2026-05-05T00:00:00"/>
    <n v="69"/>
    <x v="1"/>
    <s v="Not on Plan"/>
  </r>
  <r>
    <s v="STU1279"/>
    <s v="Megan Thomas"/>
    <x v="0"/>
    <s v="Summer 2026"/>
    <n v="2026"/>
    <d v="2025-08-17T00:00:00"/>
    <d v="2026-07-07T00:00:00"/>
    <n v="5264"/>
    <n v="1831.47"/>
    <n v="3432.5299999999997"/>
    <d v="2026-05-05T00:00:00"/>
    <n v="69"/>
    <x v="1"/>
    <s v="Not on Plan"/>
  </r>
  <r>
    <s v="STU1173"/>
    <s v="Daniel Hernandez"/>
    <x v="2"/>
    <s v="Summer 2026"/>
    <n v="2026"/>
    <d v="2025-08-22T00:00:00"/>
    <d v="2026-07-07T00:00:00"/>
    <n v="3926"/>
    <n v="506.4"/>
    <n v="3419.6"/>
    <d v="2026-05-05T00:00:00"/>
    <n v="69"/>
    <x v="1"/>
    <s v="Not on Plan"/>
  </r>
  <r>
    <s v="STU1035"/>
    <s v="Eric Hernandez"/>
    <x v="4"/>
    <s v="Summer 2026"/>
    <n v="2026"/>
    <d v="2026-05-14T00:00:00"/>
    <d v="2026-07-07T00:00:00"/>
    <n v="4105"/>
    <n v="712.11"/>
    <n v="3392.89"/>
    <d v="2026-05-05T00:00:00"/>
    <n v="69"/>
    <x v="1"/>
    <s v="On Plan"/>
  </r>
  <r>
    <s v="STU1117"/>
    <s v="Justin Jones"/>
    <x v="2"/>
    <s v="Summer 2026"/>
    <n v="2026"/>
    <d v="2026-05-21T00:00:00"/>
    <d v="2026-07-07T00:00:00"/>
    <n v="4129"/>
    <n v="753.36"/>
    <n v="3375.64"/>
    <d v="2026-05-05T00:00:00"/>
    <n v="69"/>
    <x v="1"/>
    <s v="On Plan"/>
  </r>
  <r>
    <s v="STU1111"/>
    <s v="Lauren Martinez"/>
    <x v="2"/>
    <s v="Summer 2026"/>
    <n v="2026"/>
    <d v="2025-09-13T00:00:00"/>
    <d v="2026-07-07T00:00:00"/>
    <n v="4224"/>
    <n v="852.3"/>
    <n v="3371.7"/>
    <d v="2026-05-05T00:00:00"/>
    <n v="69"/>
    <x v="1"/>
    <s v="On Plan"/>
  </r>
  <r>
    <s v="STU1133"/>
    <s v="Rachel Rodriguez"/>
    <x v="4"/>
    <s v="Summer 2026"/>
    <n v="2026"/>
    <d v="2026-05-08T00:00:00"/>
    <d v="2026-07-07T00:00:00"/>
    <n v="3734"/>
    <n v="367.73"/>
    <n v="3366.27"/>
    <d v="2026-05-05T00:00:00"/>
    <n v="69"/>
    <x v="1"/>
    <s v="On Plan"/>
  </r>
  <r>
    <s v="STU1049"/>
    <s v="Rachel Allen"/>
    <x v="2"/>
    <s v="Summer 2026"/>
    <n v="2026"/>
    <d v="2025-08-26T00:00:00"/>
    <d v="2026-07-07T00:00:00"/>
    <n v="3763"/>
    <n v="417.39"/>
    <n v="3345.61"/>
    <d v="2026-05-05T00:00:00"/>
    <n v="69"/>
    <x v="1"/>
    <s v="Not on Plan"/>
  </r>
  <r>
    <s v="STU1242"/>
    <s v="Nicole Martin"/>
    <x v="3"/>
    <s v="Summer 2026"/>
    <n v="2026"/>
    <d v="2026-05-09T00:00:00"/>
    <d v="2026-07-07T00:00:00"/>
    <n v="3757"/>
    <n v="433.35"/>
    <n v="3323.65"/>
    <d v="2026-05-05T00:00:00"/>
    <n v="69"/>
    <x v="1"/>
    <s v="On Plan"/>
  </r>
  <r>
    <s v="STU1040"/>
    <s v="Emily Wilson"/>
    <x v="4"/>
    <s v="Summer 2026"/>
    <n v="2026"/>
    <d v="2026-05-13T00:00:00"/>
    <d v="2026-07-07T00:00:00"/>
    <n v="3903"/>
    <n v="586.64"/>
    <n v="3316.36"/>
    <d v="2026-05-05T00:00:00"/>
    <n v="69"/>
    <x v="1"/>
    <s v="On Plan"/>
  </r>
  <r>
    <s v="STU1013"/>
    <s v="Sarah Anderson"/>
    <x v="0"/>
    <s v="Summer 2026"/>
    <n v="2026"/>
    <d v="2025-08-18T00:00:00"/>
    <d v="2026-07-07T00:00:00"/>
    <n v="5039"/>
    <n v="1730.69"/>
    <n v="3308.31"/>
    <d v="2026-05-05T00:00:00"/>
    <n v="69"/>
    <x v="1"/>
    <s v="Not on Plan"/>
  </r>
  <r>
    <s v="STU1048"/>
    <s v="Kayla Young"/>
    <x v="3"/>
    <s v="Summer 2026"/>
    <n v="2026"/>
    <d v="2025-08-22T00:00:00"/>
    <d v="2026-07-07T00:00:00"/>
    <n v="4314"/>
    <n v="1036.9100000000001"/>
    <n v="3277.09"/>
    <d v="2026-05-05T00:00:00"/>
    <n v="69"/>
    <x v="1"/>
    <s v="Defaulted"/>
  </r>
  <r>
    <s v="STU1038"/>
    <s v="Daniel Lee"/>
    <x v="3"/>
    <s v="Summer 2026"/>
    <n v="2026"/>
    <d v="2025-09-04T00:00:00"/>
    <d v="2026-07-07T00:00:00"/>
    <n v="3943"/>
    <n v="680.23"/>
    <n v="3262.77"/>
    <d v="2026-05-05T00:00:00"/>
    <n v="69"/>
    <x v="1"/>
    <s v="Not on Plan"/>
  </r>
  <r>
    <s v="STU1061"/>
    <s v="Matthew Martinez"/>
    <x v="3"/>
    <s v="Summer 2026"/>
    <n v="2026"/>
    <d v="2026-01-30T00:00:00"/>
    <d v="2026-07-07T00:00:00"/>
    <n v="3991"/>
    <n v="735.2"/>
    <n v="3255.8"/>
    <d v="2026-05-05T00:00:00"/>
    <n v="69"/>
    <x v="1"/>
    <s v="On Plan"/>
  </r>
  <r>
    <s v="STU1225"/>
    <s v="Stephanie Walker"/>
    <x v="4"/>
    <s v="Summer 2026"/>
    <n v="2026"/>
    <d v="2025-09-12T00:00:00"/>
    <d v="2026-07-07T00:00:00"/>
    <n v="4143"/>
    <n v="898.81"/>
    <n v="3244.19"/>
    <d v="2026-05-05T00:00:00"/>
    <n v="69"/>
    <x v="1"/>
    <s v="Defaulted"/>
  </r>
  <r>
    <s v="STU1212"/>
    <s v="Daniel Davis"/>
    <x v="0"/>
    <s v="Summer 2026"/>
    <n v="2026"/>
    <d v="2025-08-26T00:00:00"/>
    <d v="2026-07-07T00:00:00"/>
    <n v="4570"/>
    <n v="1327.15"/>
    <n v="3242.85"/>
    <d v="2026-05-05T00:00:00"/>
    <n v="69"/>
    <x v="1"/>
    <s v="On Plan"/>
  </r>
  <r>
    <s v="STU1089"/>
    <s v="Kayla White"/>
    <x v="0"/>
    <s v="Summer 2026"/>
    <n v="2026"/>
    <d v="2025-08-17T00:00:00"/>
    <d v="2026-07-07T00:00:00"/>
    <n v="4836"/>
    <n v="1598.32"/>
    <n v="3237.6800000000003"/>
    <d v="2026-05-05T00:00:00"/>
    <n v="69"/>
    <x v="1"/>
    <s v="Not on Plan"/>
  </r>
  <r>
    <s v="STU1179"/>
    <s v="Kayla Martin"/>
    <x v="2"/>
    <s v="Summer 2026"/>
    <n v="2026"/>
    <d v="2026-01-14T00:00:00"/>
    <d v="2026-07-07T00:00:00"/>
    <n v="4136"/>
    <n v="903.68"/>
    <n v="3232.32"/>
    <d v="2026-05-05T00:00:00"/>
    <n v="69"/>
    <x v="1"/>
    <s v="Defaulted"/>
  </r>
  <r>
    <s v="STU1120"/>
    <s v="Maria Martinez"/>
    <x v="4"/>
    <s v="Summer 2026"/>
    <n v="2026"/>
    <d v="2025-09-03T00:00:00"/>
    <d v="2026-07-07T00:00:00"/>
    <n v="4169"/>
    <n v="938.46"/>
    <n v="3230.54"/>
    <d v="2026-05-05T00:00:00"/>
    <n v="69"/>
    <x v="1"/>
    <s v="Defaulted"/>
  </r>
  <r>
    <s v="STU1066"/>
    <s v="Rachel King"/>
    <x v="1"/>
    <s v="Summer 2026"/>
    <n v="2026"/>
    <d v="2026-02-02T00:00:00"/>
    <d v="2026-07-07T00:00:00"/>
    <n v="4193"/>
    <n v="973.86"/>
    <n v="3219.14"/>
    <d v="2026-05-05T00:00:00"/>
    <n v="69"/>
    <x v="1"/>
    <s v="Not on Plan"/>
  </r>
  <r>
    <s v="STU1233"/>
    <s v="Samantha Lee"/>
    <x v="3"/>
    <s v="Summer 2026"/>
    <n v="2026"/>
    <d v="2026-01-26T00:00:00"/>
    <d v="2026-07-07T00:00:00"/>
    <n v="4283"/>
    <n v="1077.93"/>
    <n v="3205.0699999999997"/>
    <d v="2026-05-05T00:00:00"/>
    <n v="69"/>
    <x v="1"/>
    <s v="Not on Plan"/>
  </r>
  <r>
    <s v="STU1079"/>
    <s v="Daniel Anderson"/>
    <x v="4"/>
    <s v="Summer 2026"/>
    <n v="2026"/>
    <d v="2026-01-20T00:00:00"/>
    <d v="2026-07-07T00:00:00"/>
    <n v="4265"/>
    <n v="1093.18"/>
    <n v="3171.8199999999997"/>
    <d v="2026-05-05T00:00:00"/>
    <n v="69"/>
    <x v="1"/>
    <s v="Not on Plan"/>
  </r>
  <r>
    <s v="STU1026"/>
    <s v="Christopher Anderson"/>
    <x v="4"/>
    <s v="Summer 2026"/>
    <n v="2026"/>
    <d v="2026-05-13T00:00:00"/>
    <d v="2026-07-07T00:00:00"/>
    <n v="4012"/>
    <n v="844.45"/>
    <n v="3167.55"/>
    <d v="2026-05-05T00:00:00"/>
    <n v="69"/>
    <x v="1"/>
    <s v="On Plan"/>
  </r>
  <r>
    <s v="STU1145"/>
    <s v="Tyler Davis"/>
    <x v="4"/>
    <s v="Summer 2026"/>
    <n v="2026"/>
    <d v="2026-05-27T00:00:00"/>
    <d v="2026-07-07T00:00:00"/>
    <n v="3927"/>
    <n v="762.4"/>
    <n v="3164.6"/>
    <d v="2026-05-05T00:00:00"/>
    <n v="69"/>
    <x v="1"/>
    <s v="Not on Plan"/>
  </r>
  <r>
    <s v="STU1109"/>
    <s v="Kayla Rodriguez"/>
    <x v="4"/>
    <s v="Summer 2026"/>
    <n v="2026"/>
    <d v="2026-01-08T00:00:00"/>
    <d v="2026-07-07T00:00:00"/>
    <n v="4086"/>
    <n v="950.68"/>
    <n v="3135.32"/>
    <d v="2026-05-05T00:00:00"/>
    <n v="69"/>
    <x v="1"/>
    <s v="On Plan"/>
  </r>
  <r>
    <s v="STU1217"/>
    <s v="Elizabeth Lewis"/>
    <x v="0"/>
    <s v="Summer 2026"/>
    <n v="2026"/>
    <d v="2026-01-16T00:00:00"/>
    <d v="2026-07-07T00:00:00"/>
    <n v="4679"/>
    <n v="1558.14"/>
    <n v="3120.8599999999997"/>
    <d v="2026-05-05T00:00:00"/>
    <n v="69"/>
    <x v="1"/>
    <s v="On Plan"/>
  </r>
  <r>
    <s v="STU1110"/>
    <s v="Elizabeth Hernandez"/>
    <x v="1"/>
    <s v="Summer 2026"/>
    <n v="2026"/>
    <d v="2025-08-13T00:00:00"/>
    <d v="2026-07-07T00:00:00"/>
    <n v="4702"/>
    <n v="1587.2"/>
    <n v="3114.8"/>
    <d v="2026-05-05T00:00:00"/>
    <n v="69"/>
    <x v="1"/>
    <s v="On Plan"/>
  </r>
  <r>
    <s v="STU1114"/>
    <s v="Samantha Thomas"/>
    <x v="1"/>
    <s v="Summer 2026"/>
    <n v="2026"/>
    <d v="2026-01-24T00:00:00"/>
    <d v="2026-07-07T00:00:00"/>
    <n v="4381"/>
    <n v="1275.67"/>
    <n v="3105.33"/>
    <d v="2026-05-05T00:00:00"/>
    <n v="69"/>
    <x v="1"/>
    <s v="Not on Plan"/>
  </r>
  <r>
    <s v="STU1063"/>
    <s v="Amanda Moore"/>
    <x v="3"/>
    <s v="Summer 2026"/>
    <n v="2026"/>
    <d v="2026-05-13T00:00:00"/>
    <d v="2026-07-07T00:00:00"/>
    <n v="3850"/>
    <n v="753.12"/>
    <n v="3096.88"/>
    <d v="2026-05-05T00:00:00"/>
    <n v="69"/>
    <x v="1"/>
    <s v="On Plan"/>
  </r>
  <r>
    <s v="STU1098"/>
    <s v="Ashley King"/>
    <x v="3"/>
    <s v="Summer 2026"/>
    <n v="2026"/>
    <d v="2025-08-24T00:00:00"/>
    <d v="2026-07-07T00:00:00"/>
    <n v="3807"/>
    <n v="724.47"/>
    <n v="3082.5299999999997"/>
    <d v="2026-05-05T00:00:00"/>
    <n v="69"/>
    <x v="1"/>
    <s v="Not on Plan"/>
  </r>
  <r>
    <s v="STU1219"/>
    <s v="Eric Brown"/>
    <x v="3"/>
    <s v="Summer 2026"/>
    <n v="2026"/>
    <d v="2025-09-15T00:00:00"/>
    <d v="2026-07-07T00:00:00"/>
    <n v="4112"/>
    <n v="1037.03"/>
    <n v="3074.9700000000003"/>
    <d v="2026-05-05T00:00:00"/>
    <n v="69"/>
    <x v="1"/>
    <s v="On Plan"/>
  </r>
  <r>
    <s v="STU1012"/>
    <s v="Joshua White"/>
    <x v="3"/>
    <s v="Summer 2026"/>
    <n v="2026"/>
    <d v="2026-01-04T00:00:00"/>
    <d v="2026-07-07T00:00:00"/>
    <n v="4199"/>
    <n v="1124.0999999999999"/>
    <n v="3074.9"/>
    <d v="2026-05-05T00:00:00"/>
    <n v="69"/>
    <x v="1"/>
    <s v="Defaulted"/>
  </r>
  <r>
    <s v="STU1011"/>
    <s v="Kevin Moore"/>
    <x v="4"/>
    <s v="Summer 2026"/>
    <n v="2026"/>
    <d v="2026-05-23T00:00:00"/>
    <d v="2026-07-07T00:00:00"/>
    <n v="4200"/>
    <n v="1142.18"/>
    <n v="3057.8199999999997"/>
    <d v="2026-05-05T00:00:00"/>
    <n v="69"/>
    <x v="1"/>
    <s v="On Plan"/>
  </r>
  <r>
    <s v="STU1100"/>
    <s v="Kayla Davis"/>
    <x v="2"/>
    <s v="Summer 2026"/>
    <n v="2026"/>
    <d v="2026-01-28T00:00:00"/>
    <d v="2026-07-07T00:00:00"/>
    <n v="4090"/>
    <n v="1051.0999999999999"/>
    <n v="3038.9"/>
    <d v="2026-05-05T00:00:00"/>
    <n v="69"/>
    <x v="1"/>
    <s v="On Plan"/>
  </r>
  <r>
    <s v="STU1226"/>
    <s v="Kevin Smith"/>
    <x v="4"/>
    <s v="Summer 2026"/>
    <n v="2026"/>
    <d v="2026-01-04T00:00:00"/>
    <d v="2026-07-07T00:00:00"/>
    <n v="4271"/>
    <n v="1291.49"/>
    <n v="2979.51"/>
    <d v="2026-05-05T00:00:00"/>
    <n v="69"/>
    <x v="1"/>
    <s v="Not on Plan"/>
  </r>
  <r>
    <s v="STU1272"/>
    <s v="Michael Jones"/>
    <x v="3"/>
    <s v="Summer 2026"/>
    <n v="2026"/>
    <d v="2026-05-09T00:00:00"/>
    <d v="2026-07-07T00:00:00"/>
    <n v="4410"/>
    <n v="1467.21"/>
    <n v="2942.79"/>
    <d v="2026-05-05T00:00:00"/>
    <n v="69"/>
    <x v="1"/>
    <s v="On Plan"/>
  </r>
  <r>
    <s v="STU1192"/>
    <s v="Eric King"/>
    <x v="4"/>
    <s v="Summer 2026"/>
    <n v="2026"/>
    <d v="2026-05-17T00:00:00"/>
    <d v="2026-07-07T00:00:00"/>
    <n v="4138"/>
    <n v="1210.02"/>
    <n v="2927.98"/>
    <d v="2026-05-05T00:00:00"/>
    <n v="69"/>
    <x v="1"/>
    <s v="Not on Plan"/>
  </r>
  <r>
    <s v="STU1135"/>
    <s v="Stephanie Moore"/>
    <x v="2"/>
    <s v="Summer 2026"/>
    <n v="2026"/>
    <d v="2026-01-08T00:00:00"/>
    <d v="2026-07-07T00:00:00"/>
    <n v="4299"/>
    <n v="1404.31"/>
    <n v="2894.69"/>
    <d v="2026-05-05T00:00:00"/>
    <n v="69"/>
    <x v="1"/>
    <s v="On Plan"/>
  </r>
  <r>
    <s v="STU1030"/>
    <s v="Brandon Young"/>
    <x v="4"/>
    <s v="Summer 2026"/>
    <n v="2026"/>
    <d v="2025-09-03T00:00:00"/>
    <d v="2026-07-07T00:00:00"/>
    <n v="3853"/>
    <n v="967.48"/>
    <n v="2885.52"/>
    <d v="2026-05-05T00:00:00"/>
    <n v="69"/>
    <x v="1"/>
    <s v="On Plan"/>
  </r>
  <r>
    <s v="STU1267"/>
    <s v="Brian Lewis"/>
    <x v="2"/>
    <s v="Summer 2026"/>
    <n v="2026"/>
    <d v="2025-08-22T00:00:00"/>
    <d v="2026-07-07T00:00:00"/>
    <n v="4001"/>
    <n v="1118.69"/>
    <n v="2882.31"/>
    <d v="2026-05-05T00:00:00"/>
    <n v="69"/>
    <x v="1"/>
    <s v="On Plan"/>
  </r>
  <r>
    <s v="STU1139"/>
    <s v="Daniel Anderson"/>
    <x v="1"/>
    <s v="Summer 2026"/>
    <n v="2026"/>
    <d v="2026-06-02T00:00:00"/>
    <d v="2026-07-07T00:00:00"/>
    <n v="4410"/>
    <n v="1528.42"/>
    <n v="2881.58"/>
    <d v="2026-05-05T00:00:00"/>
    <n v="69"/>
    <x v="1"/>
    <s v="Not on Plan"/>
  </r>
  <r>
    <s v="STU1021"/>
    <s v="Michael Anderson"/>
    <x v="4"/>
    <s v="Summer 2026"/>
    <n v="2026"/>
    <d v="2025-08-17T00:00:00"/>
    <d v="2026-07-07T00:00:00"/>
    <n v="4109"/>
    <n v="1254.83"/>
    <n v="2854.17"/>
    <d v="2026-05-05T00:00:00"/>
    <n v="69"/>
    <x v="1"/>
    <s v="Not on Plan"/>
  </r>
  <r>
    <s v="STU1203"/>
    <s v="Kayla Brown"/>
    <x v="4"/>
    <s v="Summer 2026"/>
    <n v="2026"/>
    <d v="2026-05-26T00:00:00"/>
    <d v="2026-07-07T00:00:00"/>
    <n v="4038"/>
    <n v="1187.54"/>
    <n v="2850.46"/>
    <d v="2026-05-05T00:00:00"/>
    <n v="69"/>
    <x v="1"/>
    <s v="Not on Plan"/>
  </r>
  <r>
    <s v="STU1064"/>
    <s v="Matthew Miller"/>
    <x v="4"/>
    <s v="Summer 2026"/>
    <n v="2026"/>
    <d v="2025-09-13T00:00:00"/>
    <d v="2026-07-07T00:00:00"/>
    <n v="4000"/>
    <n v="1172.8"/>
    <n v="2827.2"/>
    <d v="2026-05-05T00:00:00"/>
    <n v="69"/>
    <x v="1"/>
    <s v="On Plan"/>
  </r>
  <r>
    <s v="STU1136"/>
    <s v="Lauren King"/>
    <x v="1"/>
    <s v="Summer 2026"/>
    <n v="2026"/>
    <d v="2026-06-06T00:00:00"/>
    <d v="2026-07-07T00:00:00"/>
    <n v="4340"/>
    <n v="1517.87"/>
    <n v="2822.13"/>
    <d v="2026-05-05T00:00:00"/>
    <n v="69"/>
    <x v="1"/>
    <s v="Not on Plan"/>
  </r>
  <r>
    <s v="STU1193"/>
    <s v="Brandon Miller"/>
    <x v="3"/>
    <s v="Summer 2026"/>
    <n v="2026"/>
    <d v="2025-12-30T00:00:00"/>
    <d v="2026-07-07T00:00:00"/>
    <n v="4051"/>
    <n v="1264.21"/>
    <n v="2786.79"/>
    <d v="2026-05-05T00:00:00"/>
    <n v="69"/>
    <x v="1"/>
    <s v="Not on Plan"/>
  </r>
  <r>
    <s v="STU1143"/>
    <s v="Justin Clark"/>
    <x v="0"/>
    <s v="Summer 2026"/>
    <n v="2026"/>
    <d v="2026-01-29T00:00:00"/>
    <d v="2026-07-07T00:00:00"/>
    <n v="5179"/>
    <n v="2415.38"/>
    <n v="2763.62"/>
    <d v="2026-05-05T00:00:00"/>
    <n v="69"/>
    <x v="1"/>
    <s v="Defaulted"/>
  </r>
  <r>
    <s v="STU1202"/>
    <s v="Jessica Moore"/>
    <x v="4"/>
    <s v="Summer 2026"/>
    <n v="2026"/>
    <d v="2025-08-22T00:00:00"/>
    <d v="2026-07-07T00:00:00"/>
    <n v="3921"/>
    <n v="1164.8599999999999"/>
    <n v="2756.1400000000003"/>
    <d v="2026-05-05T00:00:00"/>
    <n v="69"/>
    <x v="1"/>
    <s v="Not on Plan"/>
  </r>
  <r>
    <s v="STU1176"/>
    <s v="Ashley Martin"/>
    <x v="3"/>
    <s v="Summer 2026"/>
    <n v="2026"/>
    <d v="2026-05-10T00:00:00"/>
    <d v="2026-07-07T00:00:00"/>
    <n v="4116"/>
    <n v="1360.18"/>
    <n v="2755.8199999999997"/>
    <d v="2026-05-05T00:00:00"/>
    <n v="69"/>
    <x v="1"/>
    <s v="Not on Plan"/>
  </r>
  <r>
    <s v="STU1215"/>
    <s v="Sarah Brown"/>
    <x v="4"/>
    <s v="Summer 2026"/>
    <n v="2026"/>
    <d v="2025-08-15T00:00:00"/>
    <d v="2026-07-07T00:00:00"/>
    <n v="4116"/>
    <n v="1405.45"/>
    <n v="2710.55"/>
    <d v="2026-05-05T00:00:00"/>
    <n v="69"/>
    <x v="1"/>
    <s v="Not on Plan"/>
  </r>
  <r>
    <s v="STU1125"/>
    <s v="Lauren Jones"/>
    <x v="3"/>
    <s v="Summer 2026"/>
    <n v="2026"/>
    <d v="2026-01-17T00:00:00"/>
    <d v="2026-07-07T00:00:00"/>
    <n v="3947"/>
    <n v="1280.3"/>
    <n v="2666.7"/>
    <d v="2026-05-05T00:00:00"/>
    <n v="69"/>
    <x v="1"/>
    <s v="On Plan"/>
  </r>
  <r>
    <s v="STU1251"/>
    <s v="Samantha Johnson"/>
    <x v="1"/>
    <s v="Summer 2026"/>
    <n v="2026"/>
    <d v="2025-08-16T00:00:00"/>
    <d v="2026-07-07T00:00:00"/>
    <n v="4868"/>
    <n v="2206.85"/>
    <n v="2661.15"/>
    <d v="2026-05-05T00:00:00"/>
    <n v="69"/>
    <x v="1"/>
    <s v="On Plan"/>
  </r>
  <r>
    <s v="STU1277"/>
    <s v="Kevin Moore"/>
    <x v="1"/>
    <s v="Summer 2026"/>
    <n v="2026"/>
    <d v="2026-05-09T00:00:00"/>
    <d v="2026-07-07T00:00:00"/>
    <n v="4218"/>
    <n v="1928.72"/>
    <n v="2289.2799999999997"/>
    <d v="2026-05-05T00:00:00"/>
    <n v="69"/>
    <x v="1"/>
    <s v="On Plan"/>
  </r>
  <r>
    <s v="STU1241"/>
    <s v="Stephanie Wilson"/>
    <x v="4"/>
    <s v="Summer 2026"/>
    <n v="2026"/>
    <d v="2026-01-22T00:00:00"/>
    <d v="2026-07-07T00:00:00"/>
    <n v="4243"/>
    <n v="1955.24"/>
    <n v="2287.7600000000002"/>
    <d v="2026-05-05T00:00:00"/>
    <n v="69"/>
    <x v="1"/>
    <s v="On Plan"/>
  </r>
  <r>
    <s v="STU1016"/>
    <s v="Brian Lopez"/>
    <x v="2"/>
    <s v="Summer 2026"/>
    <n v="2026"/>
    <d v="2026-05-16T00:00:00"/>
    <d v="2026-07-07T00:00:00"/>
    <n v="4211"/>
    <n v="1962.94"/>
    <n v="2248.06"/>
    <d v="2026-05-05T00:00:00"/>
    <n v="69"/>
    <x v="1"/>
    <s v="On Plan"/>
  </r>
  <r>
    <s v="STU1147"/>
    <s v="James Thompson"/>
    <x v="4"/>
    <s v="Summer 2026"/>
    <n v="2026"/>
    <d v="2026-05-20T00:00:00"/>
    <d v="2026-07-07T00:00:00"/>
    <n v="4314"/>
    <n v="2162.5300000000002"/>
    <n v="2151.4699999999998"/>
    <d v="2026-05-05T00:00:00"/>
    <n v="69"/>
    <x v="1"/>
    <s v="Not on Plan"/>
  </r>
  <r>
    <s v="STU1182"/>
    <s v="Maria White"/>
    <x v="4"/>
    <s v="Summer 2026"/>
    <n v="2026"/>
    <d v="2026-05-20T00:00:00"/>
    <d v="2026-07-07T00:00:00"/>
    <n v="4375"/>
    <n v="2249.75"/>
    <n v="2125.25"/>
    <d v="2026-05-05T00:00:00"/>
    <n v="69"/>
    <x v="1"/>
    <s v="On Plan"/>
  </r>
  <r>
    <s v="STU1253"/>
    <s v="Lauren Johnson"/>
    <x v="2"/>
    <s v="Summer 2026"/>
    <n v="2026"/>
    <d v="2026-05-20T00:00:00"/>
    <d v="2026-07-07T00:00:00"/>
    <n v="3900"/>
    <n v="1788.29"/>
    <n v="2111.71"/>
    <d v="2026-05-05T00:00:00"/>
    <n v="69"/>
    <x v="1"/>
    <s v="On Plan"/>
  </r>
  <r>
    <s v="STU1223"/>
    <s v="Andrew Garcia"/>
    <x v="3"/>
    <s v="Summer 2026"/>
    <n v="2026"/>
    <d v="2026-01-03T00:00:00"/>
    <d v="2026-07-07T00:00:00"/>
    <n v="4411"/>
    <n v="2330.88"/>
    <n v="2080.12"/>
    <d v="2026-05-05T00:00:00"/>
    <n v="69"/>
    <x v="1"/>
    <s v="On Plan"/>
  </r>
  <r>
    <s v="STU1019"/>
    <s v="David Harris"/>
    <x v="1"/>
    <s v="Summer 2026"/>
    <n v="2026"/>
    <d v="2026-05-12T00:00:00"/>
    <d v="2026-07-07T00:00:00"/>
    <n v="4632"/>
    <n v="2603.98"/>
    <n v="2028.02"/>
    <d v="2026-05-05T00:00:00"/>
    <n v="69"/>
    <x v="1"/>
    <s v="On Plan"/>
  </r>
  <r>
    <s v="STU1181"/>
    <s v="Stephanie Martinez"/>
    <x v="1"/>
    <s v="Summer 2026"/>
    <n v="2026"/>
    <d v="2025-08-29T00:00:00"/>
    <d v="2026-07-07T00:00:00"/>
    <n v="4336"/>
    <n v="2315.44"/>
    <n v="2020.56"/>
    <d v="2026-05-05T00:00:00"/>
    <n v="69"/>
    <x v="1"/>
    <s v="On Plan"/>
  </r>
  <r>
    <s v="STU1085"/>
    <s v="Michael Davis"/>
    <x v="1"/>
    <s v="Summer 2026"/>
    <n v="2026"/>
    <d v="2026-01-12T00:00:00"/>
    <d v="2026-07-07T00:00:00"/>
    <n v="4557"/>
    <n v="2558.84"/>
    <n v="1998.1599999999999"/>
    <d v="2026-05-05T00:00:00"/>
    <n v="69"/>
    <x v="1"/>
    <s v="Defaulted"/>
  </r>
  <r>
    <s v="STU1047"/>
    <s v="Amanda Thomas"/>
    <x v="0"/>
    <s v="Summer 2026"/>
    <n v="2026"/>
    <d v="2026-06-05T00:00:00"/>
    <d v="2026-07-07T00:00:00"/>
    <n v="4990"/>
    <n v="3027.52"/>
    <n v="1962.48"/>
    <d v="2026-05-05T00:00:00"/>
    <n v="69"/>
    <x v="1"/>
    <s v="On Plan"/>
  </r>
  <r>
    <s v="STU1056"/>
    <s v="Hannah Lee"/>
    <x v="4"/>
    <s v="Summer 2026"/>
    <n v="2026"/>
    <d v="2026-01-11T00:00:00"/>
    <d v="2026-07-07T00:00:00"/>
    <n v="3705"/>
    <n v="1796.3"/>
    <n v="1908.7"/>
    <d v="2026-05-05T00:00:00"/>
    <n v="69"/>
    <x v="1"/>
    <s v="Not on Plan"/>
  </r>
  <r>
    <s v="STU1232"/>
    <s v="Maria Davis"/>
    <x v="4"/>
    <s v="Summer 2026"/>
    <n v="2026"/>
    <d v="2026-01-27T00:00:00"/>
    <d v="2026-07-07T00:00:00"/>
    <n v="3941"/>
    <n v="2063.5300000000002"/>
    <n v="1877.4699999999998"/>
    <d v="2026-05-05T00:00:00"/>
    <n v="69"/>
    <x v="1"/>
    <s v="On Plan"/>
  </r>
  <r>
    <s v="STU1027"/>
    <s v="Justin Anderson"/>
    <x v="0"/>
    <s v="Summer 2026"/>
    <n v="2026"/>
    <d v="2026-05-22T00:00:00"/>
    <d v="2026-07-07T00:00:00"/>
    <n v="5068"/>
    <n v="3205.26"/>
    <n v="1862.7399999999998"/>
    <d v="2026-05-05T00:00:00"/>
    <n v="69"/>
    <x v="1"/>
    <s v="Not on Plan"/>
  </r>
  <r>
    <s v="STU1249"/>
    <s v="Andrew Jackson"/>
    <x v="4"/>
    <s v="Summer 2026"/>
    <n v="2026"/>
    <d v="2025-08-20T00:00:00"/>
    <d v="2026-07-07T00:00:00"/>
    <n v="4173"/>
    <n v="2328.15"/>
    <n v="1844.85"/>
    <d v="2026-05-05T00:00:00"/>
    <n v="69"/>
    <x v="1"/>
    <s v="On Plan"/>
  </r>
  <r>
    <s v="STU1094"/>
    <s v="Nicole Robinson"/>
    <x v="2"/>
    <s v="Summer 2026"/>
    <n v="2026"/>
    <d v="2026-06-08T00:00:00"/>
    <d v="2026-07-07T00:00:00"/>
    <n v="4305"/>
    <n v="2468.64"/>
    <n v="1836.3600000000001"/>
    <d v="2026-05-05T00:00:00"/>
    <n v="69"/>
    <x v="1"/>
    <s v="On Plan"/>
  </r>
  <r>
    <s v="STU1144"/>
    <s v="Jessica Taylor"/>
    <x v="2"/>
    <s v="Summer 2026"/>
    <n v="2026"/>
    <d v="2026-01-03T00:00:00"/>
    <d v="2026-07-07T00:00:00"/>
    <n v="4013"/>
    <n v="2238.35"/>
    <n v="1774.65"/>
    <d v="2026-05-05T00:00:00"/>
    <n v="69"/>
    <x v="1"/>
    <s v="Not on Plan"/>
  </r>
  <r>
    <s v="STU1068"/>
    <s v="Michael Davis"/>
    <x v="2"/>
    <s v="Summer 2026"/>
    <n v="2026"/>
    <d v="2026-05-19T00:00:00"/>
    <d v="2026-07-07T00:00:00"/>
    <n v="3742"/>
    <n v="1978.49"/>
    <n v="1763.51"/>
    <d v="2026-05-05T00:00:00"/>
    <n v="69"/>
    <x v="1"/>
    <s v="On Plan"/>
  </r>
  <r>
    <s v="STU1161"/>
    <s v="Hannah Thompson"/>
    <x v="1"/>
    <s v="Summer 2026"/>
    <n v="2026"/>
    <d v="2026-01-30T00:00:00"/>
    <d v="2026-07-07T00:00:00"/>
    <n v="4485"/>
    <n v="2743.71"/>
    <n v="1741.29"/>
    <d v="2026-05-05T00:00:00"/>
    <n v="69"/>
    <x v="1"/>
    <s v="Defaulted"/>
  </r>
  <r>
    <s v="STU1152"/>
    <s v="James Lopez"/>
    <x v="1"/>
    <s v="Summer 2026"/>
    <n v="2026"/>
    <d v="2026-05-06T00:00:00"/>
    <d v="2026-07-07T00:00:00"/>
    <n v="4151"/>
    <n v="2474.75"/>
    <n v="1676.25"/>
    <d v="2026-05-05T00:00:00"/>
    <n v="69"/>
    <x v="1"/>
    <s v="On Plan"/>
  </r>
  <r>
    <s v="STU1206"/>
    <s v="Ryan Miller"/>
    <x v="2"/>
    <s v="Summer 2026"/>
    <n v="2026"/>
    <d v="2026-01-06T00:00:00"/>
    <d v="2026-07-07T00:00:00"/>
    <n v="3984"/>
    <n v="2332.1799999999998"/>
    <n v="1651.8200000000002"/>
    <d v="2026-05-05T00:00:00"/>
    <n v="69"/>
    <x v="1"/>
    <s v="On Plan"/>
  </r>
  <r>
    <s v="STU1273"/>
    <s v="David Williams"/>
    <x v="1"/>
    <s v="Summer 2026"/>
    <n v="2026"/>
    <d v="2026-06-01T00:00:00"/>
    <d v="2026-07-07T00:00:00"/>
    <n v="4565"/>
    <n v="2988.58"/>
    <n v="1576.42"/>
    <d v="2026-05-05T00:00:00"/>
    <n v="69"/>
    <x v="1"/>
    <s v="Not on Plan"/>
  </r>
  <r>
    <s v="STU1091"/>
    <s v="Andrew Lewis"/>
    <x v="3"/>
    <s v="Summer 2026"/>
    <n v="2026"/>
    <d v="2026-05-19T00:00:00"/>
    <d v="2026-07-07T00:00:00"/>
    <n v="4086"/>
    <n v="2549.8200000000002"/>
    <n v="1536.1799999999998"/>
    <d v="2026-05-05T00:00:00"/>
    <n v="69"/>
    <x v="1"/>
    <s v="On Plan"/>
  </r>
  <r>
    <s v="STU1058"/>
    <s v="Jessica Brown"/>
    <x v="1"/>
    <s v="Summer 2026"/>
    <n v="2026"/>
    <d v="2025-12-30T00:00:00"/>
    <d v="2026-07-07T00:00:00"/>
    <n v="4518"/>
    <n v="3021.58"/>
    <n v="1496.42"/>
    <d v="2026-05-05T00:00:00"/>
    <n v="69"/>
    <x v="1"/>
    <s v="Not on Plan"/>
  </r>
  <r>
    <s v="STU1131"/>
    <s v="Kevin Moore"/>
    <x v="2"/>
    <s v="Summer 2026"/>
    <n v="2026"/>
    <d v="2025-08-12T00:00:00"/>
    <d v="2026-07-07T00:00:00"/>
    <n v="4143"/>
    <n v="2662.78"/>
    <n v="1480.2199999999998"/>
    <d v="2026-05-05T00:00:00"/>
    <n v="69"/>
    <x v="1"/>
    <s v="On Plan"/>
  </r>
  <r>
    <s v="STU1073"/>
    <s v="Matthew Lewis"/>
    <x v="4"/>
    <s v="Summer 2026"/>
    <n v="2026"/>
    <d v="2026-01-06T00:00:00"/>
    <d v="2026-07-07T00:00:00"/>
    <n v="3959"/>
    <n v="2496.06"/>
    <n v="1462.94"/>
    <d v="2026-05-05T00:00:00"/>
    <n v="69"/>
    <x v="1"/>
    <s v="On Plan"/>
  </r>
  <r>
    <s v="STU1045"/>
    <s v="Rachel Moore"/>
    <x v="3"/>
    <s v="Summer 2026"/>
    <n v="2026"/>
    <d v="2026-05-09T00:00:00"/>
    <d v="2026-07-07T00:00:00"/>
    <n v="4108"/>
    <n v="2647.12"/>
    <n v="1460.88"/>
    <d v="2026-05-05T00:00:00"/>
    <n v="69"/>
    <x v="1"/>
    <s v="On Plan"/>
  </r>
  <r>
    <s v="STU1000"/>
    <s v="Maria Miller"/>
    <x v="3"/>
    <s v="Summer 2026"/>
    <n v="2026"/>
    <d v="2026-01-05T00:00:00"/>
    <d v="2026-07-07T00:00:00"/>
    <n v="3731"/>
    <n v="2322.87"/>
    <n v="1408.13"/>
    <d v="2026-05-05T00:00:00"/>
    <n v="69"/>
    <x v="1"/>
    <s v="On Plan"/>
  </r>
  <r>
    <s v="STU1157"/>
    <s v="Kevin Jones"/>
    <x v="2"/>
    <s v="Summer 2026"/>
    <n v="2026"/>
    <d v="2026-01-22T00:00:00"/>
    <d v="2026-07-07T00:00:00"/>
    <n v="4069"/>
    <n v="2681.78"/>
    <n v="1387.2199999999998"/>
    <d v="2026-05-05T00:00:00"/>
    <n v="69"/>
    <x v="1"/>
    <s v="On Plan"/>
  </r>
  <r>
    <s v="STU1187"/>
    <s v="Stephanie Davis"/>
    <x v="2"/>
    <s v="Summer 2026"/>
    <n v="2026"/>
    <d v="2026-05-25T00:00:00"/>
    <d v="2026-07-07T00:00:00"/>
    <n v="4123"/>
    <n v="2797.78"/>
    <n v="1325.2199999999998"/>
    <d v="2026-05-05T00:00:00"/>
    <n v="69"/>
    <x v="1"/>
    <s v="On Plan"/>
  </r>
  <r>
    <s v="STU1081"/>
    <s v="Andrew Thomas"/>
    <x v="3"/>
    <s v="Summer 2026"/>
    <n v="2026"/>
    <d v="2026-05-14T00:00:00"/>
    <d v="2026-07-07T00:00:00"/>
    <n v="4076"/>
    <n v="2780.02"/>
    <n v="1295.98"/>
    <d v="2026-05-05T00:00:00"/>
    <n v="69"/>
    <x v="1"/>
    <s v="Not on Plan"/>
  </r>
  <r>
    <s v="STU1169"/>
    <s v="Hannah Moore"/>
    <x v="0"/>
    <s v="Summer 2026"/>
    <n v="2026"/>
    <d v="2026-01-16T00:00:00"/>
    <d v="2026-07-07T00:00:00"/>
    <n v="5366"/>
    <n v="4115.6899999999996"/>
    <n v="1250.3100000000004"/>
    <d v="2026-05-05T00:00:00"/>
    <n v="69"/>
    <x v="1"/>
    <s v="On Plan"/>
  </r>
  <r>
    <s v="STU1065"/>
    <s v="Christopher Clark"/>
    <x v="2"/>
    <s v="Summer 2026"/>
    <n v="2026"/>
    <d v="2026-01-01T00:00:00"/>
    <d v="2026-07-07T00:00:00"/>
    <n v="3871"/>
    <n v="2629.2"/>
    <n v="1241.8000000000002"/>
    <d v="2026-05-05T00:00:00"/>
    <n v="69"/>
    <x v="1"/>
    <s v="On Plan"/>
  </r>
  <r>
    <s v="STU1084"/>
    <s v="Matthew Johnson"/>
    <x v="1"/>
    <s v="Summer 2026"/>
    <n v="2026"/>
    <d v="2026-05-25T00:00:00"/>
    <d v="2026-07-07T00:00:00"/>
    <n v="4827"/>
    <n v="3718.82"/>
    <n v="1108.1799999999998"/>
    <d v="2026-05-05T00:00:00"/>
    <n v="69"/>
    <x v="1"/>
    <s v="Not on Plan"/>
  </r>
  <r>
    <s v="STU1118"/>
    <s v="Kayla Rodriguez"/>
    <x v="2"/>
    <s v="Summer 2026"/>
    <n v="2026"/>
    <d v="2025-08-20T00:00:00"/>
    <d v="2026-07-07T00:00:00"/>
    <n v="3958"/>
    <n v="2871.5"/>
    <n v="1086.5"/>
    <d v="2026-05-05T00:00:00"/>
    <n v="69"/>
    <x v="1"/>
    <s v="Defaulted"/>
  </r>
  <r>
    <s v="STU1103"/>
    <s v="Ryan Walker"/>
    <x v="1"/>
    <s v="Summer 2026"/>
    <n v="2026"/>
    <d v="2025-08-13T00:00:00"/>
    <d v="2026-07-07T00:00:00"/>
    <n v="4186"/>
    <n v="3102.09"/>
    <n v="1083.9099999999999"/>
    <d v="2026-05-05T00:00:00"/>
    <n v="69"/>
    <x v="1"/>
    <s v="On Plan"/>
  </r>
  <r>
    <s v="STU1265"/>
    <s v="Eric Lee"/>
    <x v="4"/>
    <s v="Summer 2026"/>
    <n v="2026"/>
    <d v="2026-01-26T00:00:00"/>
    <d v="2026-07-07T00:00:00"/>
    <n v="4047"/>
    <n v="2987.46"/>
    <n v="1059.54"/>
    <d v="2026-05-05T00:00:00"/>
    <n v="69"/>
    <x v="1"/>
    <s v="On Plan"/>
  </r>
  <r>
    <s v="STU1238"/>
    <s v="Michael Moore"/>
    <x v="1"/>
    <s v="Summer 2026"/>
    <n v="2026"/>
    <d v="2025-09-14T00:00:00"/>
    <d v="2026-07-07T00:00:00"/>
    <n v="4374"/>
    <n v="3327.39"/>
    <n v="1046.6100000000001"/>
    <d v="2026-05-05T00:00:00"/>
    <n v="69"/>
    <x v="1"/>
    <s v="Not on Plan"/>
  </r>
  <r>
    <s v="STU1007"/>
    <s v="Eric Rodriguez"/>
    <x v="3"/>
    <s v="Summer 2026"/>
    <n v="2026"/>
    <d v="2026-01-01T00:00:00"/>
    <d v="2026-07-07T00:00:00"/>
    <n v="4158"/>
    <n v="3131.33"/>
    <n v="1026.67"/>
    <d v="2026-05-05T00:00:00"/>
    <n v="69"/>
    <x v="1"/>
    <s v="Not on Plan"/>
  </r>
  <r>
    <s v="STU1130"/>
    <s v="Lauren Walker"/>
    <x v="2"/>
    <s v="Summer 2026"/>
    <n v="2026"/>
    <d v="2025-08-26T00:00:00"/>
    <d v="2026-07-07T00:00:00"/>
    <n v="4195"/>
    <n v="3205.32"/>
    <n v="989.67999999999984"/>
    <d v="2026-05-05T00:00:00"/>
    <n v="69"/>
    <x v="1"/>
    <s v="Not on Plan"/>
  </r>
  <r>
    <s v="STU1024"/>
    <s v="Stephanie Rodriguez"/>
    <x v="0"/>
    <s v="Summer 2026"/>
    <n v="2026"/>
    <d v="2025-12-30T00:00:00"/>
    <d v="2026-07-07T00:00:00"/>
    <n v="5258"/>
    <n v="4305.49"/>
    <n v="952.51000000000022"/>
    <d v="2026-05-05T00:00:00"/>
    <n v="69"/>
    <x v="1"/>
    <s v="Not on Plan"/>
  </r>
  <r>
    <s v="STU1240"/>
    <s v="Jessica Lewis"/>
    <x v="0"/>
    <s v="Summer 2026"/>
    <n v="2026"/>
    <d v="2026-01-06T00:00:00"/>
    <d v="2026-07-07T00:00:00"/>
    <n v="5102"/>
    <n v="4151.03"/>
    <n v="950.97000000000025"/>
    <d v="2026-05-05T00:00:00"/>
    <n v="69"/>
    <x v="1"/>
    <s v="Not on Plan"/>
  </r>
  <r>
    <s v="STU1276"/>
    <s v="Joshua Johnson"/>
    <x v="1"/>
    <s v="Summer 2026"/>
    <n v="2026"/>
    <d v="2025-08-28T00:00:00"/>
    <d v="2026-07-07T00:00:00"/>
    <n v="4366"/>
    <n v="3468.27"/>
    <n v="897.73"/>
    <d v="2026-05-05T00:00:00"/>
    <n v="69"/>
    <x v="1"/>
    <s v="On Plan"/>
  </r>
  <r>
    <s v="STU1054"/>
    <s v="David Rodriguez"/>
    <x v="4"/>
    <s v="Summer 2026"/>
    <n v="2026"/>
    <d v="2026-06-03T00:00:00"/>
    <d v="2026-07-07T00:00:00"/>
    <n v="4351"/>
    <n v="3465.37"/>
    <n v="885.63000000000011"/>
    <d v="2026-05-05T00:00:00"/>
    <n v="69"/>
    <x v="1"/>
    <s v="On Plan"/>
  </r>
  <r>
    <s v="STU1140"/>
    <s v="Daniel Allen"/>
    <x v="4"/>
    <s v="Summer 2026"/>
    <n v="2026"/>
    <d v="2025-08-17T00:00:00"/>
    <d v="2026-07-07T00:00:00"/>
    <n v="4274"/>
    <n v="3428.43"/>
    <n v="845.57000000000016"/>
    <d v="2026-05-05T00:00:00"/>
    <n v="69"/>
    <x v="1"/>
    <s v="Not on Plan"/>
  </r>
  <r>
    <s v="STU1209"/>
    <s v="Tyler Anderson"/>
    <x v="2"/>
    <s v="Summer 2026"/>
    <n v="2026"/>
    <d v="2026-01-02T00:00:00"/>
    <d v="2026-07-07T00:00:00"/>
    <n v="4225"/>
    <n v="3458.76"/>
    <n v="766.23999999999978"/>
    <d v="2026-05-05T00:00:00"/>
    <n v="69"/>
    <x v="1"/>
    <s v="Not on Plan"/>
  </r>
  <r>
    <s v="STU1229"/>
    <s v="Nicole Harris"/>
    <x v="0"/>
    <s v="Summer 2026"/>
    <n v="2026"/>
    <d v="2026-05-15T00:00:00"/>
    <d v="2026-07-07T00:00:00"/>
    <n v="5142"/>
    <n v="4396"/>
    <n v="746"/>
    <d v="2026-05-05T00:00:00"/>
    <n v="69"/>
    <x v="1"/>
    <s v="Not on Plan"/>
  </r>
  <r>
    <s v="STU1004"/>
    <s v="Brian Harris"/>
    <x v="2"/>
    <s v="Summer 2026"/>
    <n v="2026"/>
    <d v="2026-01-26T00:00:00"/>
    <d v="2026-07-07T00:00:00"/>
    <n v="3954"/>
    <n v="3227.87"/>
    <n v="726.13000000000011"/>
    <d v="2026-05-05T00:00:00"/>
    <n v="69"/>
    <x v="1"/>
    <s v="On Plan"/>
  </r>
  <r>
    <s v="STU1174"/>
    <s v="Maria Wilson"/>
    <x v="4"/>
    <s v="Summer 2026"/>
    <n v="2026"/>
    <d v="2025-09-14T00:00:00"/>
    <d v="2026-07-07T00:00:00"/>
    <n v="4151"/>
    <n v="3426.08"/>
    <n v="724.92000000000007"/>
    <d v="2026-05-05T00:00:00"/>
    <n v="69"/>
    <x v="1"/>
    <s v="On Plan"/>
  </r>
  <r>
    <s v="STU1263"/>
    <s v="Amanda Hernandez"/>
    <x v="1"/>
    <s v="Summer 2026"/>
    <n v="2026"/>
    <d v="2026-02-02T00:00:00"/>
    <d v="2026-07-07T00:00:00"/>
    <n v="4659"/>
    <n v="3935.88"/>
    <n v="723.11999999999989"/>
    <d v="2026-05-05T00:00:00"/>
    <n v="69"/>
    <x v="1"/>
    <s v="On Plan"/>
  </r>
  <r>
    <s v="STU1020"/>
    <s v="Lauren Clark"/>
    <x v="2"/>
    <s v="Summer 2026"/>
    <n v="2026"/>
    <d v="2026-05-05T00:00:00"/>
    <d v="2026-07-07T00:00:00"/>
    <n v="3949"/>
    <n v="3228.07"/>
    <n v="720.92999999999984"/>
    <d v="2026-05-05T00:00:00"/>
    <n v="69"/>
    <x v="1"/>
    <s v="Not on Plan"/>
  </r>
  <r>
    <s v="STU1028"/>
    <s v="Joshua Miller"/>
    <x v="3"/>
    <s v="Summer 2026"/>
    <n v="2026"/>
    <d v="2025-08-22T00:00:00"/>
    <d v="2026-07-07T00:00:00"/>
    <n v="3933"/>
    <n v="3307.4"/>
    <n v="625.59999999999991"/>
    <d v="2026-05-05T00:00:00"/>
    <n v="69"/>
    <x v="1"/>
    <s v="On Plan"/>
  </r>
  <r>
    <s v="STU1057"/>
    <s v="Stephanie Lopez"/>
    <x v="3"/>
    <s v="Summer 2026"/>
    <n v="2026"/>
    <d v="2025-09-07T00:00:00"/>
    <d v="2026-07-07T00:00:00"/>
    <n v="4043"/>
    <n v="3432.97"/>
    <n v="610.0300000000002"/>
    <d v="2026-05-05T00:00:00"/>
    <n v="69"/>
    <x v="1"/>
    <s v="Defaulted"/>
  </r>
  <r>
    <s v="STU1196"/>
    <s v="Michael Brown"/>
    <x v="3"/>
    <s v="Summer 2026"/>
    <n v="2026"/>
    <d v="2026-02-01T00:00:00"/>
    <d v="2026-07-07T00:00:00"/>
    <n v="3780"/>
    <n v="3500"/>
    <n v="280"/>
    <d v="2026-05-05T00:00:00"/>
    <n v="69"/>
    <x v="1"/>
    <s v="Defaulted"/>
  </r>
  <r>
    <s v="STU1001"/>
    <s v="Justin Davis"/>
    <x v="2"/>
    <s v="Summer 2026"/>
    <n v="2026"/>
    <d v="2025-08-23T00:00:00"/>
    <d v="2026-07-07T00:00:00"/>
    <n v="3862"/>
    <n v="3862"/>
    <n v="0"/>
    <d v="2026-07-07T00:00:00"/>
    <n v="0"/>
    <x v="2"/>
    <s v="Not on Plan"/>
  </r>
  <r>
    <s v="STU1002"/>
    <s v="Kevin Davis"/>
    <x v="2"/>
    <s v="Summer 2026"/>
    <n v="2026"/>
    <d v="2026-01-30T00:00:00"/>
    <d v="2026-07-07T00:00:00"/>
    <n v="3962"/>
    <n v="3962"/>
    <n v="0"/>
    <d v="2026-07-07T00:00:00"/>
    <n v="0"/>
    <x v="2"/>
    <s v="Not on Plan"/>
  </r>
  <r>
    <s v="STU1003"/>
    <s v="Stephanie Jackson"/>
    <x v="4"/>
    <s v="Summer 2026"/>
    <n v="2026"/>
    <d v="2026-01-19T00:00:00"/>
    <d v="2026-07-07T00:00:00"/>
    <n v="3862"/>
    <n v="3862"/>
    <n v="0"/>
    <d v="2026-07-07T00:00:00"/>
    <n v="0"/>
    <x v="2"/>
    <s v="Not on Plan"/>
  </r>
  <r>
    <s v="STU1005"/>
    <s v="Jessica Martinez"/>
    <x v="3"/>
    <s v="Summer 2026"/>
    <n v="2026"/>
    <d v="2026-05-11T00:00:00"/>
    <d v="2026-07-07T00:00:00"/>
    <n v="3815"/>
    <n v="3815"/>
    <n v="0"/>
    <d v="2026-07-07T00:00:00"/>
    <n v="0"/>
    <x v="2"/>
    <s v="Not on Plan"/>
  </r>
  <r>
    <s v="STU1010"/>
    <s v="Elizabeth Miller"/>
    <x v="3"/>
    <s v="Summer 2026"/>
    <n v="2026"/>
    <d v="2025-12-30T00:00:00"/>
    <d v="2026-07-07T00:00:00"/>
    <n v="4300"/>
    <n v="4300"/>
    <n v="0"/>
    <d v="2026-07-07T00:00:00"/>
    <n v="0"/>
    <x v="2"/>
    <s v="Not on Plan"/>
  </r>
  <r>
    <s v="STU1018"/>
    <s v="Christopher Lopez"/>
    <x v="1"/>
    <s v="Summer 2026"/>
    <n v="2026"/>
    <d v="2026-05-29T00:00:00"/>
    <d v="2026-07-07T00:00:00"/>
    <n v="4938"/>
    <n v="4938"/>
    <n v="0"/>
    <d v="2026-07-07T00:00:00"/>
    <n v="0"/>
    <x v="2"/>
    <s v="Not on Plan"/>
  </r>
  <r>
    <s v="STU1022"/>
    <s v="Elizabeth Robinson"/>
    <x v="3"/>
    <s v="Summer 2026"/>
    <n v="2026"/>
    <d v="2025-08-21T00:00:00"/>
    <d v="2026-07-07T00:00:00"/>
    <n v="3705"/>
    <n v="3705"/>
    <n v="0"/>
    <d v="2026-07-07T00:00:00"/>
    <n v="0"/>
    <x v="2"/>
    <s v="Not on Plan"/>
  </r>
  <r>
    <s v="STU1025"/>
    <s v="Nicole Johnson"/>
    <x v="2"/>
    <s v="Summer 2026"/>
    <n v="2026"/>
    <d v="2026-05-06T00:00:00"/>
    <d v="2026-07-07T00:00:00"/>
    <n v="4041"/>
    <n v="4041"/>
    <n v="0"/>
    <d v="2026-07-07T00:00:00"/>
    <n v="0"/>
    <x v="2"/>
    <s v="Not on Plan"/>
  </r>
  <r>
    <s v="STU1029"/>
    <s v="Matthew Garcia"/>
    <x v="2"/>
    <s v="Summer 2026"/>
    <n v="2026"/>
    <d v="2025-12-29T00:00:00"/>
    <d v="2026-07-07T00:00:00"/>
    <n v="4296"/>
    <n v="4296"/>
    <n v="0"/>
    <d v="2026-07-07T00:00:00"/>
    <n v="0"/>
    <x v="2"/>
    <s v="Not on Plan"/>
  </r>
  <r>
    <s v="STU1031"/>
    <s v="Emily Jackson"/>
    <x v="4"/>
    <s v="Summer 2026"/>
    <n v="2026"/>
    <d v="2026-05-04T00:00:00"/>
    <d v="2026-07-07T00:00:00"/>
    <n v="3879"/>
    <n v="3879"/>
    <n v="0"/>
    <d v="2026-07-07T00:00:00"/>
    <n v="0"/>
    <x v="2"/>
    <s v="Not on Plan"/>
  </r>
  <r>
    <s v="STU1032"/>
    <s v="Eric Moore"/>
    <x v="2"/>
    <s v="Summer 2026"/>
    <n v="2026"/>
    <d v="2025-08-12T00:00:00"/>
    <d v="2026-07-07T00:00:00"/>
    <n v="4077"/>
    <n v="4077"/>
    <n v="0"/>
    <d v="2026-07-07T00:00:00"/>
    <n v="0"/>
    <x v="2"/>
    <s v="Not on Plan"/>
  </r>
  <r>
    <s v="STU1034"/>
    <s v="Ashley Brown"/>
    <x v="0"/>
    <s v="Summer 2026"/>
    <n v="2026"/>
    <d v="2026-05-12T00:00:00"/>
    <d v="2026-07-07T00:00:00"/>
    <n v="5290"/>
    <n v="5290"/>
    <n v="0"/>
    <d v="2026-07-07T00:00:00"/>
    <n v="0"/>
    <x v="2"/>
    <s v="Not on Plan"/>
  </r>
  <r>
    <s v="STU1037"/>
    <s v="Maria Garcia"/>
    <x v="4"/>
    <s v="Summer 2026"/>
    <n v="2026"/>
    <d v="2026-05-14T00:00:00"/>
    <d v="2026-07-07T00:00:00"/>
    <n v="3993"/>
    <n v="3993"/>
    <n v="0"/>
    <d v="2026-07-07T00:00:00"/>
    <n v="0"/>
    <x v="2"/>
    <s v="Not on Plan"/>
  </r>
  <r>
    <s v="STU1039"/>
    <s v="Justin Wilson"/>
    <x v="0"/>
    <s v="Summer 2026"/>
    <n v="2026"/>
    <d v="2025-09-04T00:00:00"/>
    <d v="2026-07-07T00:00:00"/>
    <n v="5100"/>
    <n v="5100"/>
    <n v="0"/>
    <d v="2026-07-07T00:00:00"/>
    <n v="0"/>
    <x v="2"/>
    <s v="Not on Plan"/>
  </r>
  <r>
    <s v="STU1042"/>
    <s v="Joshua Hernandez"/>
    <x v="1"/>
    <s v="Summer 2026"/>
    <n v="2026"/>
    <d v="2026-01-31T00:00:00"/>
    <d v="2026-07-07T00:00:00"/>
    <n v="4649"/>
    <n v="4649"/>
    <n v="0"/>
    <d v="2026-07-07T00:00:00"/>
    <n v="0"/>
    <x v="2"/>
    <s v="Not on Plan"/>
  </r>
  <r>
    <s v="STU1043"/>
    <s v="Kevin Robinson"/>
    <x v="0"/>
    <s v="Summer 2026"/>
    <n v="2026"/>
    <d v="2025-09-14T00:00:00"/>
    <d v="2026-07-07T00:00:00"/>
    <n v="4627"/>
    <n v="4627"/>
    <n v="0"/>
    <d v="2026-07-07T00:00:00"/>
    <n v="0"/>
    <x v="2"/>
    <s v="On Plan"/>
  </r>
  <r>
    <s v="STU1044"/>
    <s v="Daniel Anderson"/>
    <x v="1"/>
    <s v="Summer 2026"/>
    <n v="2026"/>
    <d v="2025-08-19T00:00:00"/>
    <d v="2026-07-07T00:00:00"/>
    <n v="4444"/>
    <n v="4444"/>
    <n v="0"/>
    <d v="2026-07-07T00:00:00"/>
    <n v="0"/>
    <x v="2"/>
    <s v="On Plan"/>
  </r>
  <r>
    <s v="STU1046"/>
    <s v="Daniel Lopez"/>
    <x v="4"/>
    <s v="Summer 2026"/>
    <n v="2026"/>
    <d v="2026-06-05T00:00:00"/>
    <d v="2026-07-07T00:00:00"/>
    <n v="4133"/>
    <n v="4133"/>
    <n v="0"/>
    <d v="2026-07-07T00:00:00"/>
    <n v="0"/>
    <x v="2"/>
    <s v="Not on Plan"/>
  </r>
  <r>
    <s v="STU1051"/>
    <s v="Maria Rodriguez"/>
    <x v="0"/>
    <s v="Summer 2026"/>
    <n v="2026"/>
    <d v="2026-02-02T00:00:00"/>
    <d v="2026-07-07T00:00:00"/>
    <n v="5289"/>
    <n v="5289"/>
    <n v="0"/>
    <d v="2026-07-07T00:00:00"/>
    <n v="0"/>
    <x v="2"/>
    <s v="Not on Plan"/>
  </r>
  <r>
    <s v="STU1053"/>
    <s v="Samantha Williams"/>
    <x v="2"/>
    <s v="Summer 2026"/>
    <n v="2026"/>
    <d v="2026-06-07T00:00:00"/>
    <d v="2026-07-07T00:00:00"/>
    <n v="3976"/>
    <n v="3976"/>
    <n v="0"/>
    <d v="2026-07-07T00:00:00"/>
    <n v="0"/>
    <x v="2"/>
    <s v="Not on Plan"/>
  </r>
  <r>
    <s v="STU1055"/>
    <s v="Kevin Thompson"/>
    <x v="2"/>
    <s v="Summer 2026"/>
    <n v="2026"/>
    <d v="2025-12-29T00:00:00"/>
    <d v="2026-07-07T00:00:00"/>
    <n v="4164"/>
    <n v="4164"/>
    <n v="0"/>
    <d v="2026-07-07T00:00:00"/>
    <n v="0"/>
    <x v="2"/>
    <s v="Not on Plan"/>
  </r>
  <r>
    <s v="STU1060"/>
    <s v="Daniel Moore"/>
    <x v="0"/>
    <s v="Summer 2026"/>
    <n v="2026"/>
    <d v="2026-05-30T00:00:00"/>
    <d v="2026-07-07T00:00:00"/>
    <n v="5201"/>
    <n v="5201"/>
    <n v="0"/>
    <d v="2026-07-07T00:00:00"/>
    <n v="0"/>
    <x v="2"/>
    <s v="Not on Plan"/>
  </r>
  <r>
    <s v="STU1067"/>
    <s v="Kevin White"/>
    <x v="4"/>
    <s v="Summer 2026"/>
    <n v="2026"/>
    <d v="2026-05-23T00:00:00"/>
    <d v="2026-07-07T00:00:00"/>
    <n v="4176"/>
    <n v="4176"/>
    <n v="0"/>
    <d v="2026-07-07T00:00:00"/>
    <n v="0"/>
    <x v="2"/>
    <s v="On Plan"/>
  </r>
  <r>
    <s v="STU1070"/>
    <s v="Samantha Brown"/>
    <x v="1"/>
    <s v="Summer 2026"/>
    <n v="2026"/>
    <d v="2026-05-26T00:00:00"/>
    <d v="2026-07-07T00:00:00"/>
    <n v="4416"/>
    <n v="4416"/>
    <n v="0"/>
    <d v="2026-07-07T00:00:00"/>
    <n v="0"/>
    <x v="2"/>
    <s v="On Plan"/>
  </r>
  <r>
    <s v="STU1072"/>
    <s v="Ashley Thomas"/>
    <x v="2"/>
    <s v="Summer 2026"/>
    <n v="2026"/>
    <d v="2025-09-12T00:00:00"/>
    <d v="2026-07-07T00:00:00"/>
    <n v="3919"/>
    <n v="3919"/>
    <n v="0"/>
    <d v="2026-07-07T00:00:00"/>
    <n v="0"/>
    <x v="2"/>
    <s v="Not on Plan"/>
  </r>
  <r>
    <s v="STU1074"/>
    <s v="Justin Hernandez"/>
    <x v="0"/>
    <s v="Summer 2026"/>
    <n v="2026"/>
    <d v="2026-05-27T00:00:00"/>
    <d v="2026-07-07T00:00:00"/>
    <n v="4669"/>
    <n v="4669"/>
    <n v="0"/>
    <d v="2026-07-07T00:00:00"/>
    <n v="0"/>
    <x v="2"/>
    <s v="On Plan"/>
  </r>
  <r>
    <s v="STU1076"/>
    <s v="Samantha Jackson"/>
    <x v="2"/>
    <s v="Summer 2026"/>
    <n v="2026"/>
    <d v="2025-08-27T00:00:00"/>
    <d v="2026-07-07T00:00:00"/>
    <n v="4194"/>
    <n v="4194"/>
    <n v="0"/>
    <d v="2026-07-07T00:00:00"/>
    <n v="0"/>
    <x v="2"/>
    <s v="Not on Plan"/>
  </r>
  <r>
    <s v="STU1077"/>
    <s v="Matthew Rodriguez"/>
    <x v="4"/>
    <s v="Summer 2026"/>
    <n v="2026"/>
    <d v="2026-01-05T00:00:00"/>
    <d v="2026-07-07T00:00:00"/>
    <n v="3952"/>
    <n v="3952"/>
    <n v="0"/>
    <d v="2026-07-07T00:00:00"/>
    <n v="0"/>
    <x v="2"/>
    <s v="Not on Plan"/>
  </r>
  <r>
    <s v="STU1078"/>
    <s v="Rachel Williams"/>
    <x v="4"/>
    <s v="Summer 2026"/>
    <n v="2026"/>
    <d v="2026-05-20T00:00:00"/>
    <d v="2026-07-07T00:00:00"/>
    <n v="3932"/>
    <n v="3932"/>
    <n v="0"/>
    <d v="2026-07-07T00:00:00"/>
    <n v="0"/>
    <x v="2"/>
    <s v="Not on Plan"/>
  </r>
  <r>
    <s v="STU1082"/>
    <s v="Nicole Moore"/>
    <x v="3"/>
    <s v="Summer 2026"/>
    <n v="2026"/>
    <d v="2026-01-16T00:00:00"/>
    <d v="2026-07-07T00:00:00"/>
    <n v="4011"/>
    <n v="4011"/>
    <n v="0"/>
    <d v="2026-07-07T00:00:00"/>
    <n v="0"/>
    <x v="2"/>
    <s v="Not on Plan"/>
  </r>
  <r>
    <s v="STU1087"/>
    <s v="Ryan Jones"/>
    <x v="0"/>
    <s v="Summer 2026"/>
    <n v="2026"/>
    <d v="2025-08-26T00:00:00"/>
    <d v="2026-07-07T00:00:00"/>
    <n v="4899"/>
    <n v="4899"/>
    <n v="0"/>
    <d v="2026-07-07T00:00:00"/>
    <n v="0"/>
    <x v="2"/>
    <s v="Not on Plan"/>
  </r>
  <r>
    <s v="STU1090"/>
    <s v="Tyler Thomas"/>
    <x v="2"/>
    <s v="Summer 2026"/>
    <n v="2026"/>
    <d v="2026-06-06T00:00:00"/>
    <d v="2026-07-07T00:00:00"/>
    <n v="4141"/>
    <n v="4141"/>
    <n v="0"/>
    <d v="2026-07-07T00:00:00"/>
    <n v="0"/>
    <x v="2"/>
    <s v="Not on Plan"/>
  </r>
  <r>
    <s v="STU1096"/>
    <s v="Kayla Clark"/>
    <x v="4"/>
    <s v="Summer 2026"/>
    <n v="2026"/>
    <d v="2025-08-12T00:00:00"/>
    <d v="2026-07-07T00:00:00"/>
    <n v="4198"/>
    <n v="4198"/>
    <n v="0"/>
    <d v="2026-07-07T00:00:00"/>
    <n v="0"/>
    <x v="2"/>
    <s v="Not on Plan"/>
  </r>
  <r>
    <s v="STU1097"/>
    <s v="Samantha Thompson"/>
    <x v="4"/>
    <s v="Summer 2026"/>
    <n v="2026"/>
    <d v="2025-08-17T00:00:00"/>
    <d v="2026-07-07T00:00:00"/>
    <n v="3754"/>
    <n v="3754"/>
    <n v="0"/>
    <d v="2026-07-07T00:00:00"/>
    <n v="0"/>
    <x v="2"/>
    <s v="Not on Plan"/>
  </r>
  <r>
    <s v="STU1102"/>
    <s v="Andrew Wilson"/>
    <x v="3"/>
    <s v="Summer 2026"/>
    <n v="2026"/>
    <d v="2025-08-24T00:00:00"/>
    <d v="2026-07-07T00:00:00"/>
    <n v="4451"/>
    <n v="4451"/>
    <n v="0"/>
    <d v="2026-07-07T00:00:00"/>
    <n v="0"/>
    <x v="2"/>
    <s v="Not on Plan"/>
  </r>
  <r>
    <s v="STU1104"/>
    <s v="Kayla King"/>
    <x v="0"/>
    <s v="Summer 2026"/>
    <n v="2026"/>
    <d v="2025-08-18T00:00:00"/>
    <d v="2026-07-07T00:00:00"/>
    <n v="5134"/>
    <n v="5134"/>
    <n v="0"/>
    <d v="2026-07-07T00:00:00"/>
    <n v="0"/>
    <x v="2"/>
    <s v="Not on Plan"/>
  </r>
  <r>
    <s v="STU1105"/>
    <s v="Justin White"/>
    <x v="4"/>
    <s v="Summer 2026"/>
    <n v="2026"/>
    <d v="2026-01-25T00:00:00"/>
    <d v="2026-07-07T00:00:00"/>
    <n v="4268"/>
    <n v="4268"/>
    <n v="0"/>
    <d v="2026-07-07T00:00:00"/>
    <n v="0"/>
    <x v="2"/>
    <s v="Not on Plan"/>
  </r>
  <r>
    <s v="STU1106"/>
    <s v="Maria Johnson"/>
    <x v="4"/>
    <s v="Summer 2026"/>
    <n v="2026"/>
    <d v="2026-06-01T00:00:00"/>
    <d v="2026-07-07T00:00:00"/>
    <n v="4037"/>
    <n v="4037"/>
    <n v="0"/>
    <d v="2026-07-07T00:00:00"/>
    <n v="0"/>
    <x v="2"/>
    <s v="Not on Plan"/>
  </r>
  <r>
    <s v="STU1112"/>
    <s v="Christopher Hernandez"/>
    <x v="2"/>
    <s v="Summer 2026"/>
    <n v="2026"/>
    <d v="2025-08-27T00:00:00"/>
    <d v="2026-07-07T00:00:00"/>
    <n v="3921"/>
    <n v="3921"/>
    <n v="0"/>
    <d v="2026-07-07T00:00:00"/>
    <n v="0"/>
    <x v="2"/>
    <s v="Not on Plan"/>
  </r>
  <r>
    <s v="STU1113"/>
    <s v="Michael Walker"/>
    <x v="0"/>
    <s v="Summer 2026"/>
    <n v="2026"/>
    <d v="2026-05-29T00:00:00"/>
    <d v="2026-07-07T00:00:00"/>
    <n v="5071"/>
    <n v="5071"/>
    <n v="0"/>
    <d v="2026-07-07T00:00:00"/>
    <n v="0"/>
    <x v="2"/>
    <s v="Not on Plan"/>
  </r>
  <r>
    <s v="STU1119"/>
    <s v="Jessica Hernandez"/>
    <x v="0"/>
    <s v="Summer 2026"/>
    <n v="2026"/>
    <d v="2026-05-07T00:00:00"/>
    <d v="2026-07-07T00:00:00"/>
    <n v="4808"/>
    <n v="4808"/>
    <n v="0"/>
    <d v="2026-07-07T00:00:00"/>
    <n v="0"/>
    <x v="2"/>
    <s v="Not on Plan"/>
  </r>
  <r>
    <s v="STU1121"/>
    <s v="Joshua Young"/>
    <x v="4"/>
    <s v="Summer 2026"/>
    <n v="2026"/>
    <d v="2025-09-05T00:00:00"/>
    <d v="2026-07-07T00:00:00"/>
    <n v="4027"/>
    <n v="4027"/>
    <n v="0"/>
    <d v="2026-07-07T00:00:00"/>
    <n v="0"/>
    <x v="2"/>
    <s v="Not on Plan"/>
  </r>
  <r>
    <s v="STU1124"/>
    <s v="Brandon Walker"/>
    <x v="4"/>
    <s v="Summer 2026"/>
    <n v="2026"/>
    <d v="2026-01-18T00:00:00"/>
    <d v="2026-07-07T00:00:00"/>
    <n v="3787"/>
    <n v="3787"/>
    <n v="0"/>
    <d v="2026-07-07T00:00:00"/>
    <n v="0"/>
    <x v="2"/>
    <s v="Not on Plan"/>
  </r>
  <r>
    <s v="STU1127"/>
    <s v="Christopher Moore"/>
    <x v="4"/>
    <s v="Summer 2026"/>
    <n v="2026"/>
    <d v="2026-01-24T00:00:00"/>
    <d v="2026-07-07T00:00:00"/>
    <n v="4041"/>
    <n v="4041"/>
    <n v="0"/>
    <d v="2026-07-07T00:00:00"/>
    <n v="0"/>
    <x v="2"/>
    <s v="Not on Plan"/>
  </r>
  <r>
    <s v="STU1128"/>
    <s v="Amanda Moore"/>
    <x v="2"/>
    <s v="Summer 2026"/>
    <n v="2026"/>
    <d v="2026-05-27T00:00:00"/>
    <d v="2026-07-07T00:00:00"/>
    <n v="4243"/>
    <n v="4243"/>
    <n v="0"/>
    <d v="2026-07-07T00:00:00"/>
    <n v="0"/>
    <x v="2"/>
    <s v="Not on Plan"/>
  </r>
  <r>
    <s v="STU1129"/>
    <s v="Ashley Lopez"/>
    <x v="4"/>
    <s v="Summer 2026"/>
    <n v="2026"/>
    <d v="2025-08-26T00:00:00"/>
    <d v="2026-07-07T00:00:00"/>
    <n v="4182"/>
    <n v="4182"/>
    <n v="0"/>
    <d v="2026-07-07T00:00:00"/>
    <n v="0"/>
    <x v="2"/>
    <s v="Not on Plan"/>
  </r>
  <r>
    <s v="STU1132"/>
    <s v="Ryan Jones"/>
    <x v="4"/>
    <s v="Summer 2026"/>
    <n v="2026"/>
    <d v="2026-05-12T00:00:00"/>
    <d v="2026-07-07T00:00:00"/>
    <n v="3955"/>
    <n v="3955"/>
    <n v="0"/>
    <d v="2026-07-07T00:00:00"/>
    <n v="0"/>
    <x v="2"/>
    <s v="Not on Plan"/>
  </r>
  <r>
    <s v="STU1134"/>
    <s v="Ashley Jones"/>
    <x v="3"/>
    <s v="Summer 2026"/>
    <n v="2026"/>
    <d v="2026-01-11T00:00:00"/>
    <d v="2026-07-07T00:00:00"/>
    <n v="4022"/>
    <n v="4022"/>
    <n v="0"/>
    <d v="2026-07-07T00:00:00"/>
    <n v="0"/>
    <x v="2"/>
    <s v="Not on Plan"/>
  </r>
  <r>
    <s v="STU1137"/>
    <s v="Matthew Miller"/>
    <x v="2"/>
    <s v="Summer 2026"/>
    <n v="2026"/>
    <d v="2025-08-23T00:00:00"/>
    <d v="2026-07-07T00:00:00"/>
    <n v="3849"/>
    <n v="3849"/>
    <n v="0"/>
    <d v="2026-07-07T00:00:00"/>
    <n v="0"/>
    <x v="2"/>
    <s v="Not on Plan"/>
  </r>
  <r>
    <s v="STU1138"/>
    <s v="Rachel King"/>
    <x v="1"/>
    <s v="Summer 2026"/>
    <n v="2026"/>
    <d v="2026-05-10T00:00:00"/>
    <d v="2026-07-07T00:00:00"/>
    <n v="4230"/>
    <n v="4230"/>
    <n v="0"/>
    <d v="2026-07-07T00:00:00"/>
    <n v="0"/>
    <x v="2"/>
    <s v="Not on Plan"/>
  </r>
  <r>
    <s v="STU1141"/>
    <s v="Jessica Taylor"/>
    <x v="3"/>
    <s v="Summer 2026"/>
    <n v="2026"/>
    <d v="2026-01-16T00:00:00"/>
    <d v="2026-07-07T00:00:00"/>
    <n v="4264"/>
    <n v="4264"/>
    <n v="0"/>
    <d v="2026-07-07T00:00:00"/>
    <n v="0"/>
    <x v="2"/>
    <s v="Not on Plan"/>
  </r>
  <r>
    <s v="STU1142"/>
    <s v="Tyler Martin"/>
    <x v="0"/>
    <s v="Summer 2026"/>
    <n v="2026"/>
    <d v="2026-01-04T00:00:00"/>
    <d v="2026-07-07T00:00:00"/>
    <n v="5022"/>
    <n v="5022"/>
    <n v="0"/>
    <d v="2026-07-07T00:00:00"/>
    <n v="0"/>
    <x v="2"/>
    <s v="Not on Plan"/>
  </r>
  <r>
    <s v="STU1146"/>
    <s v="Michael Jackson"/>
    <x v="2"/>
    <s v="Summer 2026"/>
    <n v="2026"/>
    <d v="2025-08-16T00:00:00"/>
    <d v="2026-07-07T00:00:00"/>
    <n v="4409"/>
    <n v="4409"/>
    <n v="0"/>
    <d v="2026-07-07T00:00:00"/>
    <n v="0"/>
    <x v="2"/>
    <s v="Not on Plan"/>
  </r>
  <r>
    <s v="STU1148"/>
    <s v="Elizabeth Smith"/>
    <x v="2"/>
    <s v="Summer 2026"/>
    <n v="2026"/>
    <d v="2026-05-23T00:00:00"/>
    <d v="2026-07-07T00:00:00"/>
    <n v="4015"/>
    <n v="4015"/>
    <n v="0"/>
    <d v="2026-07-07T00:00:00"/>
    <n v="0"/>
    <x v="2"/>
    <s v="Not on Plan"/>
  </r>
  <r>
    <s v="STU1150"/>
    <s v="Emily Moore"/>
    <x v="2"/>
    <s v="Summer 2026"/>
    <n v="2026"/>
    <d v="2026-05-21T00:00:00"/>
    <d v="2026-07-07T00:00:00"/>
    <n v="4211"/>
    <n v="4211"/>
    <n v="0"/>
    <d v="2026-07-07T00:00:00"/>
    <n v="0"/>
    <x v="2"/>
    <s v="Not on Plan"/>
  </r>
  <r>
    <s v="STU1151"/>
    <s v="Justin Moore"/>
    <x v="2"/>
    <s v="Summer 2026"/>
    <n v="2026"/>
    <d v="2026-01-30T00:00:00"/>
    <d v="2026-07-07T00:00:00"/>
    <n v="3902"/>
    <n v="3902"/>
    <n v="0"/>
    <d v="2026-07-07T00:00:00"/>
    <n v="0"/>
    <x v="2"/>
    <s v="Not on Plan"/>
  </r>
  <r>
    <s v="STU1153"/>
    <s v="Kayla Taylor"/>
    <x v="2"/>
    <s v="Summer 2026"/>
    <n v="2026"/>
    <d v="2025-09-03T00:00:00"/>
    <d v="2026-07-07T00:00:00"/>
    <n v="4109"/>
    <n v="4109"/>
    <n v="0"/>
    <d v="2026-07-07T00:00:00"/>
    <n v="0"/>
    <x v="2"/>
    <s v="Not on Plan"/>
  </r>
  <r>
    <s v="STU1155"/>
    <s v="David Thomas"/>
    <x v="3"/>
    <s v="Summer 2026"/>
    <n v="2026"/>
    <d v="2026-01-28T00:00:00"/>
    <d v="2026-07-07T00:00:00"/>
    <n v="4362"/>
    <n v="4362"/>
    <n v="0"/>
    <d v="2026-07-07T00:00:00"/>
    <n v="0"/>
    <x v="2"/>
    <s v="Not on Plan"/>
  </r>
  <r>
    <s v="STU1156"/>
    <s v="David Thomas"/>
    <x v="0"/>
    <s v="Summer 2026"/>
    <n v="2026"/>
    <d v="2025-08-26T00:00:00"/>
    <d v="2026-07-07T00:00:00"/>
    <n v="5225"/>
    <n v="5225"/>
    <n v="0"/>
    <d v="2026-07-07T00:00:00"/>
    <n v="0"/>
    <x v="2"/>
    <s v="Not on Plan"/>
  </r>
  <r>
    <s v="STU1159"/>
    <s v="Eric Harris"/>
    <x v="4"/>
    <s v="Summer 2026"/>
    <n v="2026"/>
    <d v="2026-01-29T00:00:00"/>
    <d v="2026-07-07T00:00:00"/>
    <n v="4061"/>
    <n v="4061"/>
    <n v="0"/>
    <d v="2026-07-07T00:00:00"/>
    <n v="0"/>
    <x v="2"/>
    <s v="Not on Plan"/>
  </r>
  <r>
    <s v="STU1160"/>
    <s v="Maria Robinson"/>
    <x v="0"/>
    <s v="Summer 2026"/>
    <n v="2026"/>
    <d v="2025-09-11T00:00:00"/>
    <d v="2026-07-07T00:00:00"/>
    <n v="4913"/>
    <n v="4913"/>
    <n v="0"/>
    <d v="2026-07-07T00:00:00"/>
    <n v="0"/>
    <x v="2"/>
    <s v="Not on Plan"/>
  </r>
  <r>
    <s v="STU1163"/>
    <s v="Brandon Hernandez"/>
    <x v="0"/>
    <s v="Summer 2026"/>
    <n v="2026"/>
    <d v="2025-08-31T00:00:00"/>
    <d v="2026-07-07T00:00:00"/>
    <n v="5259"/>
    <n v="5259"/>
    <n v="0"/>
    <d v="2026-07-07T00:00:00"/>
    <n v="0"/>
    <x v="2"/>
    <s v="Not on Plan"/>
  </r>
  <r>
    <s v="STU1167"/>
    <s v="Nicole Smith"/>
    <x v="0"/>
    <s v="Summer 2026"/>
    <n v="2026"/>
    <d v="2026-01-07T00:00:00"/>
    <d v="2026-07-07T00:00:00"/>
    <n v="4938"/>
    <n v="4938"/>
    <n v="0"/>
    <d v="2026-07-07T00:00:00"/>
    <n v="0"/>
    <x v="2"/>
    <s v="Not on Plan"/>
  </r>
  <r>
    <s v="STU1170"/>
    <s v="Lauren Rodriguez"/>
    <x v="4"/>
    <s v="Summer 2026"/>
    <n v="2026"/>
    <d v="2026-05-08T00:00:00"/>
    <d v="2026-07-07T00:00:00"/>
    <n v="3761"/>
    <n v="3761"/>
    <n v="0"/>
    <d v="2026-07-07T00:00:00"/>
    <n v="0"/>
    <x v="2"/>
    <s v="Not on Plan"/>
  </r>
  <r>
    <s v="STU1175"/>
    <s v="Brandon Garcia"/>
    <x v="2"/>
    <s v="Summer 2026"/>
    <n v="2026"/>
    <d v="2025-08-15T00:00:00"/>
    <d v="2026-07-07T00:00:00"/>
    <n v="3885"/>
    <n v="3885"/>
    <n v="0"/>
    <d v="2026-07-07T00:00:00"/>
    <n v="0"/>
    <x v="2"/>
    <s v="Not on Plan"/>
  </r>
  <r>
    <s v="STU1178"/>
    <s v="David Moore"/>
    <x v="3"/>
    <s v="Summer 2026"/>
    <n v="2026"/>
    <d v="2025-12-30T00:00:00"/>
    <d v="2026-07-07T00:00:00"/>
    <n v="4125"/>
    <n v="4125"/>
    <n v="0"/>
    <d v="2026-07-07T00:00:00"/>
    <n v="0"/>
    <x v="2"/>
    <s v="Not on Plan"/>
  </r>
  <r>
    <s v="STU1180"/>
    <s v="Daniel Wilson"/>
    <x v="2"/>
    <s v="Summer 2026"/>
    <n v="2026"/>
    <d v="2025-09-14T00:00:00"/>
    <d v="2026-07-07T00:00:00"/>
    <n v="4057"/>
    <n v="4057"/>
    <n v="0"/>
    <d v="2026-07-07T00:00:00"/>
    <n v="0"/>
    <x v="2"/>
    <s v="Not on Plan"/>
  </r>
  <r>
    <s v="STU1183"/>
    <s v="Ashley Miller"/>
    <x v="2"/>
    <s v="Summer 2026"/>
    <n v="2026"/>
    <d v="2026-01-11T00:00:00"/>
    <d v="2026-07-07T00:00:00"/>
    <n v="4026"/>
    <n v="4026"/>
    <n v="0"/>
    <d v="2026-07-07T00:00:00"/>
    <n v="0"/>
    <x v="2"/>
    <s v="Not on Plan"/>
  </r>
  <r>
    <s v="STU1186"/>
    <s v="Elizabeth Allen"/>
    <x v="2"/>
    <s v="Summer 2026"/>
    <n v="2026"/>
    <d v="2025-08-17T00:00:00"/>
    <d v="2026-07-07T00:00:00"/>
    <n v="4018"/>
    <n v="4018"/>
    <n v="0"/>
    <d v="2026-07-07T00:00:00"/>
    <n v="0"/>
    <x v="2"/>
    <s v="Not on Plan"/>
  </r>
  <r>
    <s v="STU1191"/>
    <s v="Ashley Clark"/>
    <x v="1"/>
    <s v="Summer 2026"/>
    <n v="2026"/>
    <d v="2026-01-10T00:00:00"/>
    <d v="2026-07-07T00:00:00"/>
    <n v="4296"/>
    <n v="4296"/>
    <n v="0"/>
    <d v="2026-07-07T00:00:00"/>
    <n v="0"/>
    <x v="2"/>
    <s v="Not on Plan"/>
  </r>
  <r>
    <s v="STU1194"/>
    <s v="David Wilson"/>
    <x v="2"/>
    <s v="Summer 2026"/>
    <n v="2026"/>
    <d v="2026-01-10T00:00:00"/>
    <d v="2026-07-07T00:00:00"/>
    <n v="4090"/>
    <n v="4090"/>
    <n v="0"/>
    <d v="2026-07-07T00:00:00"/>
    <n v="0"/>
    <x v="2"/>
    <s v="Not on Plan"/>
  </r>
  <r>
    <s v="STU1197"/>
    <s v="Matthew Wilson"/>
    <x v="0"/>
    <s v="Summer 2026"/>
    <n v="2026"/>
    <d v="2026-05-27T00:00:00"/>
    <d v="2026-07-07T00:00:00"/>
    <n v="5231"/>
    <n v="5231"/>
    <n v="0"/>
    <d v="2026-07-07T00:00:00"/>
    <n v="0"/>
    <x v="2"/>
    <s v="Not on Plan"/>
  </r>
  <r>
    <s v="STU1200"/>
    <s v="Hannah Miller"/>
    <x v="4"/>
    <s v="Summer 2026"/>
    <n v="2026"/>
    <d v="2025-09-13T00:00:00"/>
    <d v="2026-07-07T00:00:00"/>
    <n v="3827"/>
    <n v="3827"/>
    <n v="0"/>
    <d v="2026-07-07T00:00:00"/>
    <n v="0"/>
    <x v="2"/>
    <s v="Not on Plan"/>
  </r>
  <r>
    <s v="STU1201"/>
    <s v="Ashley Wilson"/>
    <x v="1"/>
    <s v="Summer 2026"/>
    <n v="2026"/>
    <d v="2026-05-19T00:00:00"/>
    <d v="2026-07-07T00:00:00"/>
    <n v="4641"/>
    <n v="4641"/>
    <n v="0"/>
    <d v="2026-07-07T00:00:00"/>
    <n v="0"/>
    <x v="2"/>
    <s v="Not on Plan"/>
  </r>
  <r>
    <s v="STU1204"/>
    <s v="Amanda Davis"/>
    <x v="0"/>
    <s v="Summer 2026"/>
    <n v="2026"/>
    <d v="2025-08-26T00:00:00"/>
    <d v="2026-07-07T00:00:00"/>
    <n v="5258"/>
    <n v="5258"/>
    <n v="0"/>
    <d v="2026-07-07T00:00:00"/>
    <n v="0"/>
    <x v="2"/>
    <s v="Not on Plan"/>
  </r>
  <r>
    <s v="STU1208"/>
    <s v="Christopher Thompson"/>
    <x v="2"/>
    <s v="Summer 2026"/>
    <n v="2026"/>
    <d v="2025-09-07T00:00:00"/>
    <d v="2026-07-07T00:00:00"/>
    <n v="4040"/>
    <n v="4040"/>
    <n v="0"/>
    <d v="2026-07-07T00:00:00"/>
    <n v="0"/>
    <x v="2"/>
    <s v="Not on Plan"/>
  </r>
  <r>
    <s v="STU1210"/>
    <s v="Ashley Miller"/>
    <x v="2"/>
    <s v="Summer 2026"/>
    <n v="2026"/>
    <d v="2025-09-14T00:00:00"/>
    <d v="2026-07-07T00:00:00"/>
    <n v="3868"/>
    <n v="3868"/>
    <n v="0"/>
    <d v="2026-07-07T00:00:00"/>
    <n v="0"/>
    <x v="2"/>
    <s v="Not on Plan"/>
  </r>
  <r>
    <s v="STU1211"/>
    <s v="Brian Anderson"/>
    <x v="1"/>
    <s v="Summer 2026"/>
    <n v="2026"/>
    <d v="2026-06-05T00:00:00"/>
    <d v="2026-07-07T00:00:00"/>
    <n v="4471"/>
    <n v="4471"/>
    <n v="0"/>
    <d v="2026-07-07T00:00:00"/>
    <n v="0"/>
    <x v="2"/>
    <s v="Not on Plan"/>
  </r>
  <r>
    <s v="STU1213"/>
    <s v="Brian Williams"/>
    <x v="2"/>
    <s v="Summer 2026"/>
    <n v="2026"/>
    <d v="2026-06-04T00:00:00"/>
    <d v="2026-07-07T00:00:00"/>
    <n v="3916"/>
    <n v="3916"/>
    <n v="0"/>
    <d v="2026-07-07T00:00:00"/>
    <n v="0"/>
    <x v="2"/>
    <s v="Not on Plan"/>
  </r>
  <r>
    <s v="STU1214"/>
    <s v="Megan Smith"/>
    <x v="4"/>
    <s v="Summer 2026"/>
    <n v="2026"/>
    <d v="2025-08-24T00:00:00"/>
    <d v="2026-07-07T00:00:00"/>
    <n v="4205"/>
    <n v="4205"/>
    <n v="0"/>
    <d v="2026-07-07T00:00:00"/>
    <n v="0"/>
    <x v="2"/>
    <s v="Not on Plan"/>
  </r>
  <r>
    <s v="STU1218"/>
    <s v="Maria Harris"/>
    <x v="4"/>
    <s v="Summer 2026"/>
    <n v="2026"/>
    <d v="2026-01-11T00:00:00"/>
    <d v="2026-07-07T00:00:00"/>
    <n v="4191"/>
    <n v="4191"/>
    <n v="0"/>
    <d v="2026-07-07T00:00:00"/>
    <n v="0"/>
    <x v="2"/>
    <s v="Not on Plan"/>
  </r>
  <r>
    <s v="STU1220"/>
    <s v="Michael White"/>
    <x v="1"/>
    <s v="Summer 2026"/>
    <n v="2026"/>
    <d v="2025-09-05T00:00:00"/>
    <d v="2026-07-07T00:00:00"/>
    <n v="4403"/>
    <n v="4403"/>
    <n v="0"/>
    <d v="2026-07-07T00:00:00"/>
    <n v="0"/>
    <x v="2"/>
    <s v="Not on Plan"/>
  </r>
  <r>
    <s v="STU1221"/>
    <s v="Ashley Martin"/>
    <x v="2"/>
    <s v="Summer 2026"/>
    <n v="2026"/>
    <d v="2026-05-15T00:00:00"/>
    <d v="2026-07-07T00:00:00"/>
    <n v="3970"/>
    <n v="3970"/>
    <n v="0"/>
    <d v="2026-07-07T00:00:00"/>
    <n v="0"/>
    <x v="2"/>
    <s v="Not on Plan"/>
  </r>
  <r>
    <s v="STU1222"/>
    <s v="Rachel Davis"/>
    <x v="0"/>
    <s v="Summer 2026"/>
    <n v="2026"/>
    <d v="2026-01-20T00:00:00"/>
    <d v="2026-07-07T00:00:00"/>
    <n v="5282"/>
    <n v="5282"/>
    <n v="0"/>
    <d v="2026-07-07T00:00:00"/>
    <n v="0"/>
    <x v="2"/>
    <s v="Not on Plan"/>
  </r>
  <r>
    <s v="STU1224"/>
    <s v="Andrew King"/>
    <x v="0"/>
    <s v="Summer 2026"/>
    <n v="2026"/>
    <d v="2025-08-12T00:00:00"/>
    <d v="2026-07-07T00:00:00"/>
    <n v="4747"/>
    <n v="4747"/>
    <n v="0"/>
    <d v="2026-07-07T00:00:00"/>
    <n v="0"/>
    <x v="2"/>
    <s v="Not on Plan"/>
  </r>
  <r>
    <s v="STU1227"/>
    <s v="Hannah Brown"/>
    <x v="2"/>
    <s v="Summer 2026"/>
    <n v="2026"/>
    <d v="2026-06-05T00:00:00"/>
    <d v="2026-07-07T00:00:00"/>
    <n v="4015"/>
    <n v="4015"/>
    <n v="0"/>
    <d v="2026-07-07T00:00:00"/>
    <n v="0"/>
    <x v="2"/>
    <s v="Not on Plan"/>
  </r>
  <r>
    <s v="STU1231"/>
    <s v="Lauren Lee"/>
    <x v="3"/>
    <s v="Summer 2026"/>
    <n v="2026"/>
    <d v="2025-12-31T00:00:00"/>
    <d v="2026-07-07T00:00:00"/>
    <n v="3869"/>
    <n v="3869"/>
    <n v="0"/>
    <d v="2026-07-07T00:00:00"/>
    <n v="0"/>
    <x v="2"/>
    <s v="Not on Plan"/>
  </r>
  <r>
    <s v="STU1235"/>
    <s v="Maria Lopez"/>
    <x v="3"/>
    <s v="Summer 2026"/>
    <n v="2026"/>
    <d v="2026-01-23T00:00:00"/>
    <d v="2026-07-07T00:00:00"/>
    <n v="4259"/>
    <n v="4259"/>
    <n v="0"/>
    <d v="2026-07-07T00:00:00"/>
    <n v="0"/>
    <x v="2"/>
    <s v="Not on Plan"/>
  </r>
  <r>
    <s v="STU1236"/>
    <s v="Elizabeth Hernandez"/>
    <x v="1"/>
    <s v="Summer 2026"/>
    <n v="2026"/>
    <d v="2025-09-09T00:00:00"/>
    <d v="2026-07-07T00:00:00"/>
    <n v="4420"/>
    <n v="4420"/>
    <n v="0"/>
    <d v="2026-07-07T00:00:00"/>
    <n v="0"/>
    <x v="2"/>
    <s v="Not on Plan"/>
  </r>
  <r>
    <s v="STU1237"/>
    <s v="Andrew Martinez"/>
    <x v="0"/>
    <s v="Summer 2026"/>
    <n v="2026"/>
    <d v="2026-01-02T00:00:00"/>
    <d v="2026-07-07T00:00:00"/>
    <n v="4901"/>
    <n v="4901"/>
    <n v="0"/>
    <d v="2026-07-07T00:00:00"/>
    <n v="0"/>
    <x v="2"/>
    <s v="Not on Plan"/>
  </r>
  <r>
    <s v="STU1239"/>
    <s v="Nicole Young"/>
    <x v="2"/>
    <s v="Summer 2026"/>
    <n v="2026"/>
    <d v="2025-09-09T00:00:00"/>
    <d v="2026-07-07T00:00:00"/>
    <n v="4117"/>
    <n v="4117"/>
    <n v="0"/>
    <d v="2026-07-07T00:00:00"/>
    <n v="0"/>
    <x v="2"/>
    <s v="Not on Plan"/>
  </r>
  <r>
    <s v="STU1243"/>
    <s v="Justin White"/>
    <x v="0"/>
    <s v="Summer 2026"/>
    <n v="2026"/>
    <d v="2025-08-24T00:00:00"/>
    <d v="2026-07-07T00:00:00"/>
    <n v="4753"/>
    <n v="4753"/>
    <n v="0"/>
    <d v="2026-07-07T00:00:00"/>
    <n v="0"/>
    <x v="2"/>
    <s v="Not on Plan"/>
  </r>
  <r>
    <s v="STU1245"/>
    <s v="Samantha Jones"/>
    <x v="3"/>
    <s v="Summer 2026"/>
    <n v="2026"/>
    <d v="2026-01-20T00:00:00"/>
    <d v="2026-07-07T00:00:00"/>
    <n v="4354"/>
    <n v="4354"/>
    <n v="0"/>
    <d v="2026-07-07T00:00:00"/>
    <n v="0"/>
    <x v="2"/>
    <s v="On Plan"/>
  </r>
  <r>
    <s v="STU1246"/>
    <s v="Daniel Hernandez"/>
    <x v="1"/>
    <s v="Summer 2026"/>
    <n v="2026"/>
    <d v="2026-01-05T00:00:00"/>
    <d v="2026-07-07T00:00:00"/>
    <n v="4867"/>
    <n v="4867"/>
    <n v="0"/>
    <d v="2026-07-07T00:00:00"/>
    <n v="0"/>
    <x v="2"/>
    <s v="Not on Plan"/>
  </r>
  <r>
    <s v="STU1247"/>
    <s v="Lauren Davis"/>
    <x v="3"/>
    <s v="Summer 2026"/>
    <n v="2026"/>
    <d v="2025-08-30T00:00:00"/>
    <d v="2026-07-07T00:00:00"/>
    <n v="4399"/>
    <n v="4399"/>
    <n v="0"/>
    <d v="2026-07-07T00:00:00"/>
    <n v="0"/>
    <x v="2"/>
    <s v="Not on Plan"/>
  </r>
  <r>
    <s v="STU1250"/>
    <s v="David Jones"/>
    <x v="3"/>
    <s v="Summer 2026"/>
    <n v="2026"/>
    <d v="2026-01-03T00:00:00"/>
    <d v="2026-07-07T00:00:00"/>
    <n v="4203"/>
    <n v="4203"/>
    <n v="0"/>
    <d v="2026-07-07T00:00:00"/>
    <n v="0"/>
    <x v="2"/>
    <s v="Not on Plan"/>
  </r>
  <r>
    <s v="STU1255"/>
    <s v="James Jones"/>
    <x v="1"/>
    <s v="Summer 2026"/>
    <n v="2026"/>
    <d v="2026-05-18T00:00:00"/>
    <d v="2026-07-07T00:00:00"/>
    <n v="4614"/>
    <n v="4614"/>
    <n v="0"/>
    <d v="2026-07-07T00:00:00"/>
    <n v="0"/>
    <x v="2"/>
    <s v="Not on Plan"/>
  </r>
  <r>
    <s v="STU1256"/>
    <s v="Tyler Lopez"/>
    <x v="0"/>
    <s v="Summer 2026"/>
    <n v="2026"/>
    <d v="2026-02-01T00:00:00"/>
    <d v="2026-07-07T00:00:00"/>
    <n v="4468"/>
    <n v="4468"/>
    <n v="0"/>
    <d v="2026-07-07T00:00:00"/>
    <n v="0"/>
    <x v="2"/>
    <s v="Not on Plan"/>
  </r>
  <r>
    <s v="STU1258"/>
    <s v="Eric Brown"/>
    <x v="2"/>
    <s v="Summer 2026"/>
    <n v="2026"/>
    <d v="2025-09-14T00:00:00"/>
    <d v="2026-07-07T00:00:00"/>
    <n v="4255"/>
    <n v="4255"/>
    <n v="0"/>
    <d v="2026-07-07T00:00:00"/>
    <n v="0"/>
    <x v="2"/>
    <s v="Not on Plan"/>
  </r>
  <r>
    <s v="STU1259"/>
    <s v="Ashley Jackson"/>
    <x v="3"/>
    <s v="Summer 2026"/>
    <n v="2026"/>
    <d v="2025-08-28T00:00:00"/>
    <d v="2026-07-07T00:00:00"/>
    <n v="4135"/>
    <n v="4135"/>
    <n v="0"/>
    <d v="2026-07-07T00:00:00"/>
    <n v="0"/>
    <x v="2"/>
    <s v="Not on Plan"/>
  </r>
  <r>
    <s v="STU1261"/>
    <s v="Michael Young"/>
    <x v="4"/>
    <s v="Summer 2026"/>
    <n v="2026"/>
    <d v="2026-05-11T00:00:00"/>
    <d v="2026-07-07T00:00:00"/>
    <n v="4160"/>
    <n v="4160"/>
    <n v="0"/>
    <d v="2026-07-07T00:00:00"/>
    <n v="0"/>
    <x v="2"/>
    <s v="Not on Plan"/>
  </r>
  <r>
    <s v="STU1262"/>
    <s v="Ashley Wilson"/>
    <x v="2"/>
    <s v="Summer 2026"/>
    <n v="2026"/>
    <d v="2026-01-01T00:00:00"/>
    <d v="2026-07-07T00:00:00"/>
    <n v="4105"/>
    <n v="4105"/>
    <n v="0"/>
    <d v="2026-07-07T00:00:00"/>
    <n v="0"/>
    <x v="2"/>
    <s v="Not on Plan"/>
  </r>
  <r>
    <s v="STU1264"/>
    <s v="Elizabeth Wilson"/>
    <x v="2"/>
    <s v="Summer 2026"/>
    <n v="2026"/>
    <d v="2025-12-31T00:00:00"/>
    <d v="2026-07-07T00:00:00"/>
    <n v="4143"/>
    <n v="4143"/>
    <n v="0"/>
    <d v="2026-07-07T00:00:00"/>
    <n v="0"/>
    <x v="2"/>
    <s v="Not on Plan"/>
  </r>
  <r>
    <s v="STU1270"/>
    <s v="Andrew Young"/>
    <x v="3"/>
    <s v="Summer 2026"/>
    <n v="2026"/>
    <d v="2026-02-02T00:00:00"/>
    <d v="2026-07-07T00:00:00"/>
    <n v="3754"/>
    <n v="3754"/>
    <n v="0"/>
    <d v="2026-07-07T00:00:00"/>
    <n v="0"/>
    <x v="2"/>
    <s v="On Plan"/>
  </r>
  <r>
    <s v="STU1271"/>
    <s v="Emily Williams"/>
    <x v="0"/>
    <s v="Summer 2026"/>
    <n v="2026"/>
    <d v="2026-05-22T00:00:00"/>
    <d v="2026-07-07T00:00:00"/>
    <n v="4943"/>
    <n v="4943"/>
    <n v="0"/>
    <d v="2026-07-07T00:00:00"/>
    <n v="0"/>
    <x v="2"/>
    <s v="Not on Plan"/>
  </r>
  <r>
    <s v="STU1274"/>
    <s v="Nicole Harris"/>
    <x v="4"/>
    <s v="Summer 2026"/>
    <n v="2026"/>
    <d v="2026-05-22T00:00:00"/>
    <d v="2026-07-07T00:00:00"/>
    <n v="4163"/>
    <n v="4163"/>
    <n v="0"/>
    <d v="2026-07-07T00:00:00"/>
    <n v="0"/>
    <x v="2"/>
    <s v="Not on Plan"/>
  </r>
  <r>
    <s v="STU1278"/>
    <s v="Hannah Thompson"/>
    <x v="4"/>
    <s v="Summer 2026"/>
    <n v="2026"/>
    <d v="2026-05-21T00:00:00"/>
    <d v="2026-07-07T00:00:00"/>
    <n v="4322"/>
    <n v="4322"/>
    <n v="0"/>
    <d v="2026-07-07T00:00:00"/>
    <n v="0"/>
    <x v="2"/>
    <s v="Not on Pla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A92544-13F8-4782-A753-6E5E68A4B442}" name="ARPivot" cacheId="77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4">
  <location ref="A8:M14" firstHeaderRow="1" firstDataRow="3" firstDataCol="1"/>
  <pivotFields count="14">
    <pivotField dataField="1" showAll="0"/>
    <pivotField showAll="0"/>
    <pivotField axis="axisCol" showAll="0">
      <items count="6">
        <item x="2"/>
        <item x="4"/>
        <item x="1"/>
        <item x="3"/>
        <item x="0"/>
        <item t="default"/>
      </items>
    </pivotField>
    <pivotField showAll="0"/>
    <pivotField showAll="0"/>
    <pivotField numFmtId="164" showAll="0"/>
    <pivotField numFmtId="164" showAll="0"/>
    <pivotField numFmtId="165" showAll="0"/>
    <pivotField numFmtId="165" showAll="0"/>
    <pivotField dataField="1" numFmtId="165" showAll="0"/>
    <pivotField numFmtId="164" showAll="0"/>
    <pivotField showAll="0"/>
    <pivotField axis="axisRow" showAll="0" sortType="ascending">
      <items count="6">
        <item m="1" x="4"/>
        <item x="0"/>
        <item x="1"/>
        <item m="1" x="3"/>
        <item x="2"/>
        <item t="default"/>
      </items>
    </pivotField>
    <pivotField showAll="0"/>
  </pivotFields>
  <rowFields count="1">
    <field x="12"/>
  </rowFields>
  <rowItems count="4">
    <i>
      <x v="1"/>
    </i>
    <i>
      <x v="2"/>
    </i>
    <i>
      <x v="4"/>
    </i>
    <i t="grand">
      <x/>
    </i>
  </rowItems>
  <colFields count="2">
    <field x="2"/>
    <field x="-2"/>
  </colFields>
  <colItems count="12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dataFields count="2">
    <dataField name="Sum of Balance" fld="9" baseField="0" baseItem="0" numFmtId="165"/>
    <dataField name="Count of Accounts" fld="0" subtotal="count" baseField="0" baseItem="0"/>
  </dataFields>
  <formats count="5">
    <format dxfId="0">
      <pivotArea dataOnly="0" labelOnly="1" outline="0" fieldPosition="0">
        <references count="2">
          <reference field="4294967294" count="1">
            <x v="1"/>
          </reference>
          <reference field="2" count="1" selected="0">
            <x v="0"/>
          </reference>
        </references>
      </pivotArea>
    </format>
    <format dxfId="1">
      <pivotArea dataOnly="0" labelOnly="1" outline="0" fieldPosition="0">
        <references count="2">
          <reference field="4294967294" count="1">
            <x v="1"/>
          </reference>
          <reference field="2" count="1" selected="0">
            <x v="1"/>
          </reference>
        </references>
      </pivotArea>
    </format>
    <format dxfId="2">
      <pivotArea dataOnly="0" labelOnly="1" outline="0" fieldPosition="0">
        <references count="2">
          <reference field="4294967294" count="1">
            <x v="1"/>
          </reference>
          <reference field="2" count="1" selected="0">
            <x v="2"/>
          </reference>
        </references>
      </pivotArea>
    </format>
    <format dxfId="3">
      <pivotArea dataOnly="0" labelOnly="1" outline="0" fieldPosition="0">
        <references count="2">
          <reference field="4294967294" count="1">
            <x v="1"/>
          </reference>
          <reference field="2" count="1" selected="0">
            <x v="3"/>
          </reference>
        </references>
      </pivotArea>
    </format>
    <format dxfId="4">
      <pivotArea dataOnly="0" labelOnly="1" outline="0" fieldPosition="0">
        <references count="2">
          <reference field="4294967294" count="1">
            <x v="1"/>
          </reference>
          <reference field="2" count="1" selected="0">
            <x v="4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gram" xr10:uid="{5BC82C99-9CD5-40F9-8BF3-00AA3005D434}" sourceName="Program">
  <pivotTables>
    <pivotTable tabId="1" name="ARPivot"/>
  </pivotTables>
  <data>
    <tabular pivotCacheId="570273608">
      <items count="5">
        <i x="2" s="1"/>
        <i x="4" s="1"/>
        <i x="1" s="1"/>
        <i x="3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gram" xr10:uid="{C29F07DC-2A91-4140-9EA5-FE74FE01DD73}" cache="Slicer_Program" caption="Program" columnCount="5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46F21-D134-48A5-AE5A-3899CA57F325}">
  <dimension ref="A1:J31"/>
  <sheetViews>
    <sheetView workbookViewId="0">
      <selection activeCell="A31" sqref="A31"/>
    </sheetView>
  </sheetViews>
  <sheetFormatPr defaultRowHeight="14.45"/>
  <cols>
    <col min="1" max="1" width="43.140625" customWidth="1"/>
    <col min="2" max="2" width="15.28515625" bestFit="1" customWidth="1"/>
    <col min="3" max="3" width="21.7109375" customWidth="1"/>
    <col min="4" max="4" width="24.28515625" bestFit="1" customWidth="1"/>
    <col min="5" max="5" width="14.28515625" bestFit="1" customWidth="1"/>
    <col min="6" max="6" width="24.140625" bestFit="1" customWidth="1"/>
    <col min="7" max="7" width="15.28515625" bestFit="1" customWidth="1"/>
    <col min="8" max="8" width="18.5703125" bestFit="1" customWidth="1"/>
    <col min="9" max="9" width="13.7109375" bestFit="1" customWidth="1"/>
  </cols>
  <sheetData>
    <row r="1" spans="1:10" ht="23.25">
      <c r="A1" s="5" t="s">
        <v>0</v>
      </c>
      <c r="C1" s="26" t="s">
        <v>1</v>
      </c>
    </row>
    <row r="2" spans="1:10">
      <c r="A2" s="6" t="str">
        <f>"As of " &amp; TEXT('AR Ledger'!O3,"mm/dd/yyyy")</f>
        <v>As of 07/13/2026</v>
      </c>
    </row>
    <row r="4" spans="1:10">
      <c r="A4" s="7" t="s">
        <v>2</v>
      </c>
      <c r="B4" s="8"/>
      <c r="C4" s="7" t="s">
        <v>3</v>
      </c>
      <c r="D4" s="8"/>
      <c r="E4" s="7" t="s">
        <v>4</v>
      </c>
      <c r="F4" s="8"/>
      <c r="G4" s="7" t="s">
        <v>5</v>
      </c>
      <c r="H4" s="8"/>
      <c r="I4" s="7" t="s">
        <v>6</v>
      </c>
      <c r="J4" s="8"/>
    </row>
    <row r="5" spans="1:10">
      <c r="A5" s="9">
        <f>SUM('AR Ledger'!H2:H281)</f>
        <v>1210037</v>
      </c>
      <c r="B5" s="8"/>
      <c r="C5" s="9">
        <f>SUM('AR Ledger'!I2:I281)</f>
        <v>691203.69</v>
      </c>
      <c r="D5" s="8"/>
      <c r="E5" s="9">
        <f>SUM('AR Ledger'!J2:J281)</f>
        <v>521833.30999999971</v>
      </c>
      <c r="F5" s="8"/>
      <c r="G5" s="10">
        <f>COUNTIF('AR Ledger'!J2:J281,"&gt;0")</f>
        <v>183</v>
      </c>
      <c r="H5" s="8"/>
      <c r="I5" s="12">
        <f>IFERROR(SUM('AR Ledger'!I2:I281)/SUM('AR Ledger'!H2:H281),0)</f>
        <v>0.57122525178982131</v>
      </c>
      <c r="J5" s="8"/>
    </row>
    <row r="8" spans="1:10" ht="15.6">
      <c r="A8" s="13" t="s">
        <v>7</v>
      </c>
      <c r="F8" s="13" t="s">
        <v>8</v>
      </c>
    </row>
    <row r="9" spans="1:10">
      <c r="A9" s="2" t="s">
        <v>9</v>
      </c>
      <c r="B9" s="2" t="s">
        <v>10</v>
      </c>
      <c r="C9" s="2" t="s">
        <v>11</v>
      </c>
      <c r="D9" s="2" t="s">
        <v>12</v>
      </c>
      <c r="F9" s="2" t="s">
        <v>13</v>
      </c>
      <c r="G9" s="2" t="s">
        <v>10</v>
      </c>
      <c r="H9" s="2" t="s">
        <v>11</v>
      </c>
    </row>
    <row r="10" spans="1:10" ht="15">
      <c r="A10" t="s">
        <v>14</v>
      </c>
      <c r="B10">
        <f>COUNTIF('AR Ledger'!M2:M281,"1-30 Days")</f>
        <v>10</v>
      </c>
      <c r="C10" s="4">
        <f>SUMIF('AR Ledger'!M2:M281,"1-30 Days",'AR Ledger'!J2:J281)</f>
        <v>16868</v>
      </c>
      <c r="D10" s="11">
        <f>IFERROR(C10/$E$5,0)</f>
        <v>3.2324498411188063E-2</v>
      </c>
      <c r="F10" t="s">
        <v>15</v>
      </c>
      <c r="G10">
        <f>COUNTIF('AR Ledger'!N2:N281,"On Plan")</f>
        <v>96</v>
      </c>
      <c r="H10" s="4">
        <f>SUMIF('AR Ledger'!N2:N281,"On Plan",'AR Ledger'!J2:J281)</f>
        <v>254268.06000000006</v>
      </c>
    </row>
    <row r="11" spans="1:10" ht="15">
      <c r="A11" t="s">
        <v>16</v>
      </c>
      <c r="B11">
        <f>COUNTIF('AR Ledger'!M2:M281,"31-60 Days")</f>
        <v>18</v>
      </c>
      <c r="C11" s="4">
        <f>SUMIF('AR Ledger'!M2:M281,"31-60 Days",'AR Ledger'!J2:J281)</f>
        <v>83026.12</v>
      </c>
      <c r="D11" s="11">
        <f t="shared" ref="D11:D13" si="0">IFERROR(C11/$E$5,0)</f>
        <v>0.15910467654891566</v>
      </c>
      <c r="F11" t="s">
        <v>17</v>
      </c>
      <c r="G11">
        <f>COUNTIF('AR Ledger'!N2:N281,"Not on Plan")</f>
        <v>166</v>
      </c>
      <c r="H11" s="4">
        <f>SUMIF('AR Ledger'!N2:N281,"Not on Plan",'AR Ledger'!J2:J281)</f>
        <v>213677.83000000007</v>
      </c>
    </row>
    <row r="12" spans="1:10" ht="15">
      <c r="A12" t="s">
        <v>18</v>
      </c>
      <c r="B12">
        <f>COUNTIF('AR Ledger'!M2:M281,"61-90 Days")</f>
        <v>155</v>
      </c>
      <c r="C12" s="4">
        <f>SUMIF('AR Ledger'!M2:M281,"61-90 Days",'AR Ledger'!J2:J281)</f>
        <v>421939.18999999977</v>
      </c>
      <c r="D12" s="11">
        <f t="shared" si="0"/>
        <v>0.80857082503989641</v>
      </c>
      <c r="F12" t="s">
        <v>19</v>
      </c>
      <c r="G12">
        <f>COUNTIF('AR Ledger'!N2:N281,"Defaulted")</f>
        <v>18</v>
      </c>
      <c r="H12" s="4">
        <f>SUMIF('AR Ledger'!N2:N281,"Defaulted",'AR Ledger'!J2:J281)</f>
        <v>53887.420000000006</v>
      </c>
    </row>
    <row r="13" spans="1:10" ht="15">
      <c r="A13" t="s">
        <v>20</v>
      </c>
      <c r="B13">
        <f>COUNTIF('AR Ledger'!M2:M281,"90+ Days")</f>
        <v>0</v>
      </c>
      <c r="C13" s="4">
        <f>SUMIF('AR Ledger'!M2:M281,"90+ Days",'AR Ledger'!J2:J281)</f>
        <v>0</v>
      </c>
      <c r="D13" s="11">
        <f t="shared" si="0"/>
        <v>0</v>
      </c>
    </row>
    <row r="14" spans="1:10" ht="15">
      <c r="A14" s="2" t="s">
        <v>21</v>
      </c>
      <c r="B14" s="2">
        <f>SUM(B10:B13)</f>
        <v>183</v>
      </c>
      <c r="C14" s="14">
        <f>SUM(C10:C13)</f>
        <v>521833.30999999976</v>
      </c>
      <c r="D14" s="15">
        <f>SUM(D10:D13)</f>
        <v>1.0000000000000002</v>
      </c>
    </row>
    <row r="15" spans="1:10" ht="15"/>
    <row r="18" spans="1:8" ht="15.6">
      <c r="A18" s="13" t="s">
        <v>22</v>
      </c>
      <c r="F18" s="13"/>
    </row>
    <row r="19" spans="1:8">
      <c r="A19" s="2" t="s">
        <v>23</v>
      </c>
      <c r="B19" s="2" t="s">
        <v>24</v>
      </c>
      <c r="C19" s="2" t="s">
        <v>11</v>
      </c>
      <c r="F19" s="2"/>
      <c r="G19" s="2"/>
      <c r="H19" s="2"/>
    </row>
    <row r="20" spans="1:8">
      <c r="A20" t="s">
        <v>25</v>
      </c>
      <c r="B20">
        <f>COUNTIFS('AR Ledger'!C2:C281,"Business Administration",'AR Ledger'!J2:J281,"&gt;0")</f>
        <v>42</v>
      </c>
      <c r="C20" s="4">
        <f>SUMIFS('AR Ledger'!J2:J281,'AR Ledger'!C2:C281,"Business Administration",'AR Ledger'!J2:J281,"&gt;0")</f>
        <v>104871.06</v>
      </c>
      <c r="H20" s="4"/>
    </row>
    <row r="21" spans="1:8">
      <c r="A21" t="s">
        <v>26</v>
      </c>
      <c r="B21">
        <f>COUNTIFS('AR Ledger'!C2:C281,"Nursing",'AR Ledger'!J2:J281,"&gt;0")</f>
        <v>34</v>
      </c>
      <c r="C21" s="4">
        <f>SUMIFS('AR Ledger'!J2:J281,'AR Ledger'!C2:C281,"Nursing",'AR Ledger'!J2:J281,"&gt;0")</f>
        <v>118055.97</v>
      </c>
      <c r="H21" s="4"/>
    </row>
    <row r="22" spans="1:8">
      <c r="A22" t="s">
        <v>27</v>
      </c>
      <c r="B22">
        <f>COUNTIFS('AR Ledger'!C2:C281,"Information Technology",'AR Ledger'!J2:J281,"&gt;0")</f>
        <v>38</v>
      </c>
      <c r="C22" s="4">
        <f>SUMIFS('AR Ledger'!J2:J281,'AR Ledger'!C2:C281,"Information Technology",'AR Ledger'!J2:J281,"&gt;0")</f>
        <v>113814.87999999999</v>
      </c>
    </row>
    <row r="23" spans="1:8">
      <c r="A23" t="s">
        <v>28</v>
      </c>
      <c r="B23">
        <f>COUNTIFS('AR Ledger'!C2:C281,"Criminal Justice",'AR Ledger'!J2:J281,"&gt;0")</f>
        <v>42</v>
      </c>
      <c r="C23" s="4">
        <f>SUMIFS('AR Ledger'!J2:J281,'AR Ledger'!C2:C281,"Criminal Justice",'AR Ledger'!J2:J281,"&gt;0")</f>
        <v>118035.98000000001</v>
      </c>
    </row>
    <row r="24" spans="1:8">
      <c r="A24" t="s">
        <v>29</v>
      </c>
      <c r="B24">
        <f>COUNTIFS('AR Ledger'!C2:C281,"Liberal Arts",'AR Ledger'!J2:J281,"&gt;0")</f>
        <v>27</v>
      </c>
      <c r="C24" s="4">
        <f>SUMIFS('AR Ledger'!J2:J281,'AR Ledger'!C2:C281,"Liberal Arts",'AR Ledger'!J2:J281,"&gt;0")</f>
        <v>67055.42</v>
      </c>
    </row>
    <row r="31" spans="1:8" ht="15">
      <c r="A31" s="25" t="s">
        <v>30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F3580-9EEF-4FDE-9BE1-41BC13D8A136}">
  <dimension ref="A1:C29"/>
  <sheetViews>
    <sheetView workbookViewId="0">
      <selection activeCell="A29" sqref="A29"/>
    </sheetView>
  </sheetViews>
  <sheetFormatPr defaultRowHeight="14.45"/>
  <cols>
    <col min="1" max="1" width="18.85546875" bestFit="1" customWidth="1"/>
    <col min="2" max="2" width="36.5703125" bestFit="1" customWidth="1"/>
    <col min="3" max="3" width="12.42578125" bestFit="1" customWidth="1"/>
  </cols>
  <sheetData>
    <row r="1" spans="1:3">
      <c r="A1" s="2" t="s">
        <v>31</v>
      </c>
      <c r="B1" s="2" t="s">
        <v>32</v>
      </c>
      <c r="C1" s="2" t="s">
        <v>33</v>
      </c>
    </row>
    <row r="2" spans="1:3">
      <c r="A2" t="s">
        <v>34</v>
      </c>
      <c r="B2" t="s">
        <v>35</v>
      </c>
      <c r="C2" t="s">
        <v>36</v>
      </c>
    </row>
    <row r="3" spans="1:3">
      <c r="A3" t="s">
        <v>37</v>
      </c>
      <c r="B3" t="s">
        <v>38</v>
      </c>
      <c r="C3" t="s">
        <v>39</v>
      </c>
    </row>
    <row r="4" spans="1:3">
      <c r="A4" t="s">
        <v>23</v>
      </c>
      <c r="B4" t="s">
        <v>40</v>
      </c>
      <c r="C4" t="s">
        <v>26</v>
      </c>
    </row>
    <row r="5" spans="1:3">
      <c r="A5" t="s">
        <v>41</v>
      </c>
      <c r="B5" t="s">
        <v>42</v>
      </c>
      <c r="C5" t="s">
        <v>43</v>
      </c>
    </row>
    <row r="6" spans="1:3">
      <c r="A6" t="s">
        <v>44</v>
      </c>
      <c r="B6" t="s">
        <v>45</v>
      </c>
      <c r="C6">
        <v>2024</v>
      </c>
    </row>
    <row r="7" spans="1:3">
      <c r="A7" t="s">
        <v>46</v>
      </c>
      <c r="B7" t="s">
        <v>47</v>
      </c>
      <c r="C7" s="1">
        <v>46037</v>
      </c>
    </row>
    <row r="8" spans="1:3">
      <c r="A8" t="s">
        <v>48</v>
      </c>
      <c r="B8" t="s">
        <v>49</v>
      </c>
      <c r="C8" s="1">
        <v>46067</v>
      </c>
    </row>
    <row r="9" spans="1:3" ht="30.75">
      <c r="A9" t="s">
        <v>50</v>
      </c>
      <c r="B9" s="22" t="s">
        <v>51</v>
      </c>
      <c r="C9">
        <v>4580</v>
      </c>
    </row>
    <row r="10" spans="1:3">
      <c r="A10" t="s">
        <v>52</v>
      </c>
      <c r="B10" t="s">
        <v>53</v>
      </c>
      <c r="C10">
        <v>2200</v>
      </c>
    </row>
    <row r="11" spans="1:3">
      <c r="A11" t="s">
        <v>54</v>
      </c>
      <c r="B11" t="s">
        <v>55</v>
      </c>
      <c r="C11">
        <v>2380</v>
      </c>
    </row>
    <row r="12" spans="1:3" ht="30.75">
      <c r="A12" s="23" t="s">
        <v>56</v>
      </c>
      <c r="B12" s="22" t="s">
        <v>57</v>
      </c>
      <c r="C12" s="1">
        <v>46147</v>
      </c>
    </row>
    <row r="13" spans="1:3">
      <c r="A13" t="s">
        <v>58</v>
      </c>
      <c r="B13" t="s">
        <v>59</v>
      </c>
      <c r="C13">
        <v>45</v>
      </c>
    </row>
    <row r="14" spans="1:3">
      <c r="A14" t="s">
        <v>60</v>
      </c>
      <c r="B14" t="s">
        <v>61</v>
      </c>
      <c r="C14" t="s">
        <v>16</v>
      </c>
    </row>
    <row r="15" spans="1:3">
      <c r="A15" t="s">
        <v>62</v>
      </c>
      <c r="B15" t="s">
        <v>63</v>
      </c>
      <c r="C15" t="s">
        <v>15</v>
      </c>
    </row>
    <row r="29" spans="1:1">
      <c r="A29" s="25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D17E3-9AAC-4E24-8D02-AA982A30EA3D}">
  <sheetPr filterMode="1"/>
  <dimension ref="A1:O283"/>
  <sheetViews>
    <sheetView topLeftCell="A268" workbookViewId="0">
      <selection activeCell="A287" sqref="A287"/>
    </sheetView>
  </sheetViews>
  <sheetFormatPr defaultRowHeight="15" customHeight="1"/>
  <cols>
    <col min="1" max="1" width="11.7109375" bestFit="1" customWidth="1"/>
    <col min="2" max="2" width="19.7109375" bestFit="1" customWidth="1"/>
    <col min="3" max="3" width="24.7109375" customWidth="1"/>
    <col min="4" max="4" width="13" bestFit="1" customWidth="1"/>
    <col min="5" max="5" width="12.7109375" bestFit="1" customWidth="1"/>
    <col min="6" max="6" width="13.28515625" hidden="1" customWidth="1"/>
    <col min="7" max="7" width="11.140625" bestFit="1" customWidth="1"/>
    <col min="8" max="8" width="21.42578125" bestFit="1" customWidth="1"/>
    <col min="9" max="9" width="18.85546875" bestFit="1" customWidth="1"/>
    <col min="10" max="10" width="9.7109375" bestFit="1" customWidth="1"/>
    <col min="11" max="11" width="19.5703125" customWidth="1"/>
    <col min="12" max="12" width="14.85546875" bestFit="1" customWidth="1"/>
    <col min="13" max="13" width="13.7109375" bestFit="1" customWidth="1"/>
    <col min="14" max="14" width="19.85546875" bestFit="1" customWidth="1"/>
    <col min="15" max="15" width="10.5703125" customWidth="1"/>
  </cols>
  <sheetData>
    <row r="1" spans="1:15" s="21" customFormat="1">
      <c r="A1" s="19" t="s">
        <v>34</v>
      </c>
      <c r="B1" s="19" t="s">
        <v>37</v>
      </c>
      <c r="C1" s="19" t="s">
        <v>23</v>
      </c>
      <c r="D1" s="19" t="s">
        <v>41</v>
      </c>
      <c r="E1" s="19" t="s">
        <v>44</v>
      </c>
      <c r="F1" s="19" t="s">
        <v>46</v>
      </c>
      <c r="G1" s="19" t="s">
        <v>48</v>
      </c>
      <c r="H1" s="19" t="s">
        <v>50</v>
      </c>
      <c r="I1" s="19" t="s">
        <v>52</v>
      </c>
      <c r="J1" s="19" t="s">
        <v>54</v>
      </c>
      <c r="K1" s="20" t="s">
        <v>56</v>
      </c>
      <c r="L1" s="19" t="s">
        <v>58</v>
      </c>
      <c r="M1" s="19" t="s">
        <v>60</v>
      </c>
      <c r="N1" s="19" t="s">
        <v>62</v>
      </c>
    </row>
    <row r="2" spans="1:15" hidden="1">
      <c r="A2" t="s">
        <v>64</v>
      </c>
      <c r="B2" t="s">
        <v>65</v>
      </c>
      <c r="C2" t="s">
        <v>26</v>
      </c>
      <c r="D2" t="s">
        <v>66</v>
      </c>
      <c r="E2">
        <v>2026</v>
      </c>
      <c r="F2" s="3">
        <v>46054</v>
      </c>
      <c r="G2" s="3">
        <v>46210</v>
      </c>
      <c r="H2" s="4">
        <v>5298</v>
      </c>
      <c r="I2" s="4">
        <v>84.9</v>
      </c>
      <c r="J2" s="4">
        <f>H2-I2</f>
        <v>5213.1000000000004</v>
      </c>
      <c r="K2" s="3">
        <v>46177</v>
      </c>
      <c r="L2">
        <f>IF(J2&lt;=0,0,MAX(0,$O$3-K2))</f>
        <v>39</v>
      </c>
      <c r="M2" t="str">
        <f>IF(J2&lt;=0,"Paid",IF(L2=0,"Current",IF(L2&lt;=30,"1-30 Days",IF(L2&lt;=60,"31-60 Days",IF(L2&lt;=90,"61-90 Days","90+ Days")))))</f>
        <v>31-60 Days</v>
      </c>
      <c r="N2" t="s">
        <v>17</v>
      </c>
      <c r="O2" t="s">
        <v>67</v>
      </c>
    </row>
    <row r="3" spans="1:15" hidden="1">
      <c r="A3" t="s">
        <v>68</v>
      </c>
      <c r="B3" t="s">
        <v>69</v>
      </c>
      <c r="C3" t="s">
        <v>26</v>
      </c>
      <c r="D3" t="s">
        <v>66</v>
      </c>
      <c r="E3">
        <v>2026</v>
      </c>
      <c r="F3" s="3">
        <v>45906</v>
      </c>
      <c r="G3" s="3">
        <v>46210</v>
      </c>
      <c r="H3" s="4">
        <v>4975</v>
      </c>
      <c r="I3" s="4">
        <v>136.13999999999999</v>
      </c>
      <c r="J3" s="4">
        <f>H3-I3</f>
        <v>4838.8599999999997</v>
      </c>
      <c r="K3" s="3">
        <v>46177</v>
      </c>
      <c r="L3">
        <f t="shared" ref="L3:L66" si="0">IF(J3&lt;=0,0,MAX(0,$O$3-K3))</f>
        <v>39</v>
      </c>
      <c r="M3" t="str">
        <f>IF(J3&lt;=0,"Paid",IF(L3=0,"Current",IF(L3&lt;=30,"1-30 Days",IF(L3&lt;=60,"31-60 Days",IF(L3&lt;=90,"61-90 Days","90+ Days")))))</f>
        <v>31-60 Days</v>
      </c>
      <c r="N3" t="s">
        <v>19</v>
      </c>
      <c r="O3" s="3">
        <v>46216</v>
      </c>
    </row>
    <row r="4" spans="1:15" hidden="1">
      <c r="A4" t="s">
        <v>70</v>
      </c>
      <c r="B4" t="s">
        <v>71</v>
      </c>
      <c r="C4" t="s">
        <v>26</v>
      </c>
      <c r="D4" t="s">
        <v>66</v>
      </c>
      <c r="E4">
        <v>2026</v>
      </c>
      <c r="F4" s="3">
        <v>45909</v>
      </c>
      <c r="G4" s="3">
        <v>46210</v>
      </c>
      <c r="H4" s="4">
        <v>5075</v>
      </c>
      <c r="I4" s="4">
        <v>257.35000000000002</v>
      </c>
      <c r="J4" s="4">
        <f>H4-I4</f>
        <v>4817.6499999999996</v>
      </c>
      <c r="K4" s="3">
        <v>46177</v>
      </c>
      <c r="L4">
        <f t="shared" si="0"/>
        <v>39</v>
      </c>
      <c r="M4" t="str">
        <f>IF(J4&lt;=0,"Paid",IF(L4=0,"Current",IF(L4&lt;=30,"1-30 Days",IF(L4&lt;=60,"31-60 Days",IF(L4&lt;=90,"61-90 Days","90+ Days")))))</f>
        <v>31-60 Days</v>
      </c>
      <c r="N4" t="s">
        <v>15</v>
      </c>
    </row>
    <row r="5" spans="1:15" hidden="1">
      <c r="A5" t="s">
        <v>72</v>
      </c>
      <c r="B5" t="s">
        <v>73</v>
      </c>
      <c r="C5" t="s">
        <v>26</v>
      </c>
      <c r="D5" t="s">
        <v>66</v>
      </c>
      <c r="E5">
        <v>2026</v>
      </c>
      <c r="F5" s="3">
        <v>46042</v>
      </c>
      <c r="G5" s="3">
        <v>46210</v>
      </c>
      <c r="H5" s="4">
        <v>4828</v>
      </c>
      <c r="I5" s="4">
        <v>62.25</v>
      </c>
      <c r="J5" s="4">
        <f>H5-I5</f>
        <v>4765.75</v>
      </c>
      <c r="K5" s="3">
        <v>46177</v>
      </c>
      <c r="L5">
        <f t="shared" si="0"/>
        <v>39</v>
      </c>
      <c r="M5" t="str">
        <f>IF(J5&lt;=0,"Paid",IF(L5=0,"Current",IF(L5&lt;=30,"1-30 Days",IF(L5&lt;=60,"31-60 Days",IF(L5&lt;=90,"61-90 Days","90+ Days")))))</f>
        <v>31-60 Days</v>
      </c>
      <c r="N5" t="s">
        <v>19</v>
      </c>
    </row>
    <row r="6" spans="1:15" hidden="1">
      <c r="A6" t="s">
        <v>74</v>
      </c>
      <c r="B6" t="s">
        <v>75</v>
      </c>
      <c r="C6" t="s">
        <v>26</v>
      </c>
      <c r="D6" t="s">
        <v>66</v>
      </c>
      <c r="E6">
        <v>2026</v>
      </c>
      <c r="F6" s="3">
        <v>46043</v>
      </c>
      <c r="G6" s="3">
        <v>46210</v>
      </c>
      <c r="H6" s="4">
        <v>4765</v>
      </c>
      <c r="I6" s="4">
        <v>17.48</v>
      </c>
      <c r="J6" s="4">
        <f>H6-I6</f>
        <v>4747.5200000000004</v>
      </c>
      <c r="K6" s="3">
        <v>46177</v>
      </c>
      <c r="L6">
        <f t="shared" si="0"/>
        <v>39</v>
      </c>
      <c r="M6" t="str">
        <f>IF(J6&lt;=0,"Paid",IF(L6=0,"Current",IF(L6&lt;=30,"1-30 Days",IF(L6&lt;=60,"31-60 Days",IF(L6&lt;=90,"61-90 Days","90+ Days")))))</f>
        <v>31-60 Days</v>
      </c>
      <c r="N6" t="s">
        <v>15</v>
      </c>
    </row>
    <row r="7" spans="1:15" hidden="1">
      <c r="A7" t="s">
        <v>76</v>
      </c>
      <c r="B7" t="s">
        <v>77</v>
      </c>
      <c r="C7" t="s">
        <v>26</v>
      </c>
      <c r="D7" t="s">
        <v>66</v>
      </c>
      <c r="E7">
        <v>2026</v>
      </c>
      <c r="F7" s="3">
        <v>46175</v>
      </c>
      <c r="G7" s="3">
        <v>46210</v>
      </c>
      <c r="H7" s="4">
        <v>4947</v>
      </c>
      <c r="I7" s="4">
        <v>274.70999999999998</v>
      </c>
      <c r="J7" s="4">
        <f>H7-I7</f>
        <v>4672.29</v>
      </c>
      <c r="K7" s="3">
        <v>46177</v>
      </c>
      <c r="L7">
        <f t="shared" si="0"/>
        <v>39</v>
      </c>
      <c r="M7" t="str">
        <f>IF(J7&lt;=0,"Paid",IF(L7=0,"Current",IF(L7&lt;=30,"1-30 Days",IF(L7&lt;=60,"31-60 Days",IF(L7&lt;=90,"61-90 Days","90+ Days")))))</f>
        <v>31-60 Days</v>
      </c>
      <c r="N7" t="s">
        <v>17</v>
      </c>
    </row>
    <row r="8" spans="1:15" hidden="1">
      <c r="A8" t="s">
        <v>78</v>
      </c>
      <c r="B8" t="s">
        <v>79</v>
      </c>
      <c r="C8" t="s">
        <v>26</v>
      </c>
      <c r="D8" t="s">
        <v>66</v>
      </c>
      <c r="E8">
        <v>2026</v>
      </c>
      <c r="F8" s="3">
        <v>46038</v>
      </c>
      <c r="G8" s="3">
        <v>46210</v>
      </c>
      <c r="H8" s="4">
        <v>5286</v>
      </c>
      <c r="I8" s="4">
        <v>639.33000000000004</v>
      </c>
      <c r="J8" s="4">
        <f>H8-I8</f>
        <v>4646.67</v>
      </c>
      <c r="K8" s="3">
        <v>46177</v>
      </c>
      <c r="L8">
        <f t="shared" si="0"/>
        <v>39</v>
      </c>
      <c r="M8" t="str">
        <f>IF(J8&lt;=0,"Paid",IF(L8=0,"Current",IF(L8&lt;=30,"1-30 Days",IF(L8&lt;=60,"31-60 Days",IF(L8&lt;=90,"61-90 Days","90+ Days")))))</f>
        <v>31-60 Days</v>
      </c>
      <c r="N8" t="s">
        <v>15</v>
      </c>
    </row>
    <row r="9" spans="1:15" hidden="1">
      <c r="A9" t="s">
        <v>80</v>
      </c>
      <c r="B9" t="s">
        <v>81</v>
      </c>
      <c r="C9" t="s">
        <v>26</v>
      </c>
      <c r="D9" t="s">
        <v>66</v>
      </c>
      <c r="E9">
        <v>2026</v>
      </c>
      <c r="F9" s="3">
        <v>46038</v>
      </c>
      <c r="G9" s="3">
        <v>46210</v>
      </c>
      <c r="H9" s="4">
        <v>4653</v>
      </c>
      <c r="I9" s="4">
        <v>56.62</v>
      </c>
      <c r="J9" s="4">
        <f>H9-I9</f>
        <v>4596.38</v>
      </c>
      <c r="K9" s="3">
        <v>46177</v>
      </c>
      <c r="L9">
        <f t="shared" si="0"/>
        <v>39</v>
      </c>
      <c r="M9" t="str">
        <f>IF(J9&lt;=0,"Paid",IF(L9=0,"Current",IF(L9&lt;=30,"1-30 Days",IF(L9&lt;=60,"31-60 Days",IF(L9&lt;=90,"61-90 Days","90+ Days")))))</f>
        <v>31-60 Days</v>
      </c>
      <c r="N9" t="s">
        <v>17</v>
      </c>
    </row>
    <row r="10" spans="1:15" hidden="1">
      <c r="A10" t="s">
        <v>82</v>
      </c>
      <c r="B10" t="s">
        <v>83</v>
      </c>
      <c r="C10" t="s">
        <v>26</v>
      </c>
      <c r="D10" t="s">
        <v>66</v>
      </c>
      <c r="E10">
        <v>2026</v>
      </c>
      <c r="F10" s="3">
        <v>45901</v>
      </c>
      <c r="G10" s="3">
        <v>46210</v>
      </c>
      <c r="H10" s="4">
        <v>5307</v>
      </c>
      <c r="I10" s="4">
        <v>713.76</v>
      </c>
      <c r="J10" s="4">
        <f>H10-I10</f>
        <v>4593.24</v>
      </c>
      <c r="K10" s="3">
        <v>46177</v>
      </c>
      <c r="L10">
        <f t="shared" si="0"/>
        <v>39</v>
      </c>
      <c r="M10" t="str">
        <f>IF(J10&lt;=0,"Paid",IF(L10=0,"Current",IF(L10&lt;=30,"1-30 Days",IF(L10&lt;=60,"31-60 Days",IF(L10&lt;=90,"61-90 Days","90+ Days")))))</f>
        <v>31-60 Days</v>
      </c>
      <c r="N10" t="s">
        <v>15</v>
      </c>
    </row>
    <row r="11" spans="1:15" hidden="1">
      <c r="A11" t="s">
        <v>84</v>
      </c>
      <c r="B11" t="s">
        <v>85</v>
      </c>
      <c r="C11" t="s">
        <v>26</v>
      </c>
      <c r="D11" t="s">
        <v>66</v>
      </c>
      <c r="E11">
        <v>2026</v>
      </c>
      <c r="F11" s="3">
        <v>46181</v>
      </c>
      <c r="G11" s="3">
        <v>46210</v>
      </c>
      <c r="H11" s="4">
        <v>4576</v>
      </c>
      <c r="I11" s="4">
        <v>16.47</v>
      </c>
      <c r="J11" s="4">
        <f>H11-I11</f>
        <v>4559.53</v>
      </c>
      <c r="K11" s="3">
        <v>46177</v>
      </c>
      <c r="L11">
        <f t="shared" si="0"/>
        <v>39</v>
      </c>
      <c r="M11" t="str">
        <f>IF(J11&lt;=0,"Paid",IF(L11=0,"Current",IF(L11&lt;=30,"1-30 Days",IF(L11&lt;=60,"31-60 Days",IF(L11&lt;=90,"61-90 Days","90+ Days")))))</f>
        <v>31-60 Days</v>
      </c>
      <c r="N11" t="s">
        <v>15</v>
      </c>
    </row>
    <row r="12" spans="1:15" hidden="1">
      <c r="A12" t="s">
        <v>86</v>
      </c>
      <c r="B12" t="s">
        <v>87</v>
      </c>
      <c r="C12" t="s">
        <v>27</v>
      </c>
      <c r="D12" t="s">
        <v>66</v>
      </c>
      <c r="E12">
        <v>2026</v>
      </c>
      <c r="F12" s="3">
        <v>45907</v>
      </c>
      <c r="G12" s="3">
        <v>46210</v>
      </c>
      <c r="H12" s="4">
        <v>4635</v>
      </c>
      <c r="I12" s="4">
        <v>100.05</v>
      </c>
      <c r="J12" s="4">
        <f>H12-I12</f>
        <v>4534.95</v>
      </c>
      <c r="K12" s="3">
        <v>46177</v>
      </c>
      <c r="L12">
        <f t="shared" si="0"/>
        <v>39</v>
      </c>
      <c r="M12" t="str">
        <f>IF(J12&lt;=0,"Paid",IF(L12=0,"Current",IF(L12&lt;=30,"1-30 Days",IF(L12&lt;=60,"31-60 Days",IF(L12&lt;=90,"61-90 Days","90+ Days")))))</f>
        <v>31-60 Days</v>
      </c>
      <c r="N12" t="s">
        <v>17</v>
      </c>
    </row>
    <row r="13" spans="1:15" hidden="1">
      <c r="A13" t="s">
        <v>88</v>
      </c>
      <c r="B13" t="s">
        <v>89</v>
      </c>
      <c r="C13" t="s">
        <v>26</v>
      </c>
      <c r="D13" t="s">
        <v>66</v>
      </c>
      <c r="E13">
        <v>2026</v>
      </c>
      <c r="F13" s="3">
        <v>46167</v>
      </c>
      <c r="G13" s="3">
        <v>46210</v>
      </c>
      <c r="H13" s="4">
        <v>4802</v>
      </c>
      <c r="I13" s="4">
        <v>305.56</v>
      </c>
      <c r="J13" s="4">
        <f>H13-I13</f>
        <v>4496.4399999999996</v>
      </c>
      <c r="K13" s="3">
        <v>46177</v>
      </c>
      <c r="L13">
        <f t="shared" si="0"/>
        <v>39</v>
      </c>
      <c r="M13" t="str">
        <f>IF(J13&lt;=0,"Paid",IF(L13=0,"Current",IF(L13&lt;=30,"1-30 Days",IF(L13&lt;=60,"31-60 Days",IF(L13&lt;=90,"61-90 Days","90+ Days")))))</f>
        <v>31-60 Days</v>
      </c>
      <c r="N13" t="s">
        <v>15</v>
      </c>
    </row>
    <row r="14" spans="1:15" hidden="1">
      <c r="A14" t="s">
        <v>90</v>
      </c>
      <c r="B14" t="s">
        <v>91</v>
      </c>
      <c r="C14" t="s">
        <v>27</v>
      </c>
      <c r="D14" t="s">
        <v>66</v>
      </c>
      <c r="E14">
        <v>2026</v>
      </c>
      <c r="F14" s="3">
        <v>46042</v>
      </c>
      <c r="G14" s="3">
        <v>46210</v>
      </c>
      <c r="H14" s="4">
        <v>4741</v>
      </c>
      <c r="I14" s="4">
        <v>260.17</v>
      </c>
      <c r="J14" s="4">
        <f>H14-I14</f>
        <v>4480.83</v>
      </c>
      <c r="K14" s="3">
        <v>46177</v>
      </c>
      <c r="L14">
        <f t="shared" si="0"/>
        <v>39</v>
      </c>
      <c r="M14" t="str">
        <f>IF(J14&lt;=0,"Paid",IF(L14=0,"Current",IF(L14&lt;=30,"1-30 Days",IF(L14&lt;=60,"31-60 Days",IF(L14&lt;=90,"61-90 Days","90+ Days")))))</f>
        <v>31-60 Days</v>
      </c>
      <c r="N14" t="s">
        <v>17</v>
      </c>
    </row>
    <row r="15" spans="1:15" hidden="1">
      <c r="A15" t="s">
        <v>92</v>
      </c>
      <c r="B15" t="s">
        <v>93</v>
      </c>
      <c r="C15" t="s">
        <v>26</v>
      </c>
      <c r="D15" t="s">
        <v>66</v>
      </c>
      <c r="E15">
        <v>2026</v>
      </c>
      <c r="F15" s="3">
        <v>46175</v>
      </c>
      <c r="G15" s="3">
        <v>46210</v>
      </c>
      <c r="H15" s="4">
        <v>5400</v>
      </c>
      <c r="I15" s="4">
        <v>920.41</v>
      </c>
      <c r="J15" s="4">
        <f>H15-I15</f>
        <v>4479.59</v>
      </c>
      <c r="K15" s="3">
        <v>46177</v>
      </c>
      <c r="L15">
        <f t="shared" si="0"/>
        <v>39</v>
      </c>
      <c r="M15" t="str">
        <f>IF(J15&lt;=0,"Paid",IF(L15=0,"Current",IF(L15&lt;=30,"1-30 Days",IF(L15&lt;=60,"31-60 Days",IF(L15&lt;=90,"61-90 Days","90+ Days")))))</f>
        <v>31-60 Days</v>
      </c>
      <c r="N15" t="s">
        <v>17</v>
      </c>
    </row>
    <row r="16" spans="1:15" hidden="1">
      <c r="A16" t="s">
        <v>94</v>
      </c>
      <c r="B16" t="s">
        <v>95</v>
      </c>
      <c r="C16" t="s">
        <v>26</v>
      </c>
      <c r="D16" t="s">
        <v>66</v>
      </c>
      <c r="E16">
        <v>2026</v>
      </c>
      <c r="F16" s="3">
        <v>46026</v>
      </c>
      <c r="G16" s="3">
        <v>46210</v>
      </c>
      <c r="H16" s="4">
        <v>5223</v>
      </c>
      <c r="I16" s="4">
        <v>747.38</v>
      </c>
      <c r="J16" s="4">
        <f>H16-I16</f>
        <v>4475.62</v>
      </c>
      <c r="K16" s="3">
        <v>46177</v>
      </c>
      <c r="L16">
        <f t="shared" si="0"/>
        <v>39</v>
      </c>
      <c r="M16" t="str">
        <f>IF(J16&lt;=0,"Paid",IF(L16=0,"Current",IF(L16&lt;=30,"1-30 Days",IF(L16&lt;=60,"31-60 Days",IF(L16&lt;=90,"61-90 Days","90+ Days")))))</f>
        <v>31-60 Days</v>
      </c>
      <c r="N16" t="s">
        <v>15</v>
      </c>
    </row>
    <row r="17" spans="1:14" hidden="1">
      <c r="A17" t="s">
        <v>96</v>
      </c>
      <c r="B17" t="s">
        <v>97</v>
      </c>
      <c r="C17" t="s">
        <v>25</v>
      </c>
      <c r="D17" t="s">
        <v>66</v>
      </c>
      <c r="E17">
        <v>2026</v>
      </c>
      <c r="F17" s="3">
        <v>46150</v>
      </c>
      <c r="G17" s="3">
        <v>46210</v>
      </c>
      <c r="H17" s="4">
        <v>4401</v>
      </c>
      <c r="I17" s="4">
        <v>18.98</v>
      </c>
      <c r="J17" s="4">
        <f>H17-I17</f>
        <v>4382.0200000000004</v>
      </c>
      <c r="K17" s="3">
        <v>46177</v>
      </c>
      <c r="L17">
        <f t="shared" si="0"/>
        <v>39</v>
      </c>
      <c r="M17" t="str">
        <f>IF(J17&lt;=0,"Paid",IF(L17=0,"Current",IF(L17&lt;=30,"1-30 Days",IF(L17&lt;=60,"31-60 Days",IF(L17&lt;=90,"61-90 Days","90+ Days")))))</f>
        <v>31-60 Days</v>
      </c>
      <c r="N17" t="s">
        <v>17</v>
      </c>
    </row>
    <row r="18" spans="1:14" hidden="1">
      <c r="A18" t="s">
        <v>98</v>
      </c>
      <c r="B18" t="s">
        <v>99</v>
      </c>
      <c r="C18" t="s">
        <v>27</v>
      </c>
      <c r="D18" t="s">
        <v>66</v>
      </c>
      <c r="E18">
        <v>2026</v>
      </c>
      <c r="F18" s="3">
        <v>45882</v>
      </c>
      <c r="G18" s="3">
        <v>46210</v>
      </c>
      <c r="H18" s="4">
        <v>4545</v>
      </c>
      <c r="I18" s="4">
        <v>179.88</v>
      </c>
      <c r="J18" s="4">
        <f>H18-I18</f>
        <v>4365.12</v>
      </c>
      <c r="K18" s="3">
        <v>46177</v>
      </c>
      <c r="L18">
        <f t="shared" si="0"/>
        <v>39</v>
      </c>
      <c r="M18" t="str">
        <f>IF(J18&lt;=0,"Paid",IF(L18=0,"Current",IF(L18&lt;=30,"1-30 Days",IF(L18&lt;=60,"31-60 Days",IF(L18&lt;=90,"61-90 Days","90+ Days")))))</f>
        <v>31-60 Days</v>
      </c>
      <c r="N18" t="s">
        <v>15</v>
      </c>
    </row>
    <row r="19" spans="1:14" hidden="1">
      <c r="A19" t="s">
        <v>100</v>
      </c>
      <c r="B19" t="s">
        <v>101</v>
      </c>
      <c r="C19" t="s">
        <v>27</v>
      </c>
      <c r="D19" t="s">
        <v>66</v>
      </c>
      <c r="E19">
        <v>2026</v>
      </c>
      <c r="F19" s="3">
        <v>45893</v>
      </c>
      <c r="G19" s="3">
        <v>46210</v>
      </c>
      <c r="H19" s="4">
        <v>4555</v>
      </c>
      <c r="I19" s="4">
        <v>194.44</v>
      </c>
      <c r="J19" s="4">
        <f>H19-I19</f>
        <v>4360.5600000000004</v>
      </c>
      <c r="K19" s="3">
        <v>46177</v>
      </c>
      <c r="L19">
        <f t="shared" si="0"/>
        <v>39</v>
      </c>
      <c r="M19" t="str">
        <f>IF(J19&lt;=0,"Paid",IF(L19=0,"Current",IF(L19&lt;=30,"1-30 Days",IF(L19&lt;=60,"31-60 Days",IF(L19&lt;=90,"61-90 Days","90+ Days")))))</f>
        <v>31-60 Days</v>
      </c>
      <c r="N19" t="s">
        <v>19</v>
      </c>
    </row>
    <row r="20" spans="1:14" hidden="1">
      <c r="A20" t="s">
        <v>102</v>
      </c>
      <c r="B20" t="s">
        <v>103</v>
      </c>
      <c r="C20" t="s">
        <v>27</v>
      </c>
      <c r="D20" t="s">
        <v>66</v>
      </c>
      <c r="E20">
        <v>2026</v>
      </c>
      <c r="F20" s="3">
        <v>46148</v>
      </c>
      <c r="G20" s="3">
        <v>46210</v>
      </c>
      <c r="H20" s="4">
        <v>4549</v>
      </c>
      <c r="I20" s="4">
        <v>227.11</v>
      </c>
      <c r="J20" s="4">
        <f>H20-I20</f>
        <v>4321.8900000000003</v>
      </c>
      <c r="K20" s="3">
        <v>46147</v>
      </c>
      <c r="L20">
        <f t="shared" si="0"/>
        <v>69</v>
      </c>
      <c r="M20" t="str">
        <f>IF(J20&lt;=0,"Paid",IF(L20=0,"Current",IF(L20&lt;=30,"1-30 Days",IF(L20&lt;=60,"31-60 Days",IF(L20&lt;=90,"61-90 Days","90+ Days")))))</f>
        <v>61-90 Days</v>
      </c>
      <c r="N20" t="s">
        <v>17</v>
      </c>
    </row>
    <row r="21" spans="1:14" hidden="1">
      <c r="A21" t="s">
        <v>104</v>
      </c>
      <c r="B21" t="s">
        <v>105</v>
      </c>
      <c r="C21" t="s">
        <v>27</v>
      </c>
      <c r="D21" t="s">
        <v>66</v>
      </c>
      <c r="E21">
        <v>2026</v>
      </c>
      <c r="F21" s="3">
        <v>46052</v>
      </c>
      <c r="G21" s="3">
        <v>46210</v>
      </c>
      <c r="H21" s="4">
        <v>4417</v>
      </c>
      <c r="I21" s="4">
        <v>137.18</v>
      </c>
      <c r="J21" s="4">
        <f>H21-I21</f>
        <v>4279.82</v>
      </c>
      <c r="K21" s="3">
        <v>46147</v>
      </c>
      <c r="L21">
        <f t="shared" si="0"/>
        <v>69</v>
      </c>
      <c r="M21" t="str">
        <f>IF(J21&lt;=0,"Paid",IF(L21=0,"Current",IF(L21&lt;=30,"1-30 Days",IF(L21&lt;=60,"31-60 Days",IF(L21&lt;=90,"61-90 Days","90+ Days")))))</f>
        <v>61-90 Days</v>
      </c>
      <c r="N21" t="s">
        <v>17</v>
      </c>
    </row>
    <row r="22" spans="1:14" hidden="1">
      <c r="A22" t="s">
        <v>106</v>
      </c>
      <c r="B22" t="s">
        <v>107</v>
      </c>
      <c r="C22" t="s">
        <v>29</v>
      </c>
      <c r="D22" t="s">
        <v>66</v>
      </c>
      <c r="E22">
        <v>2026</v>
      </c>
      <c r="F22" s="3">
        <v>46147</v>
      </c>
      <c r="G22" s="3">
        <v>46210</v>
      </c>
      <c r="H22" s="4">
        <v>4470</v>
      </c>
      <c r="I22" s="4">
        <v>195.73</v>
      </c>
      <c r="J22" s="4">
        <f>H22-I22</f>
        <v>4274.2700000000004</v>
      </c>
      <c r="K22" s="3">
        <v>46147</v>
      </c>
      <c r="L22">
        <f t="shared" si="0"/>
        <v>69</v>
      </c>
      <c r="M22" t="str">
        <f>IF(J22&lt;=0,"Paid",IF(L22=0,"Current",IF(L22&lt;=30,"1-30 Days",IF(L22&lt;=60,"31-60 Days",IF(L22&lt;=90,"61-90 Days","90+ Days")))))</f>
        <v>61-90 Days</v>
      </c>
      <c r="N22" t="s">
        <v>15</v>
      </c>
    </row>
    <row r="23" spans="1:14" hidden="1">
      <c r="A23" t="s">
        <v>108</v>
      </c>
      <c r="B23" t="s">
        <v>109</v>
      </c>
      <c r="C23" t="s">
        <v>26</v>
      </c>
      <c r="D23" t="s">
        <v>66</v>
      </c>
      <c r="E23">
        <v>2026</v>
      </c>
      <c r="F23" s="3">
        <v>46152</v>
      </c>
      <c r="G23" s="3">
        <v>46210</v>
      </c>
      <c r="H23" s="4">
        <v>5105</v>
      </c>
      <c r="I23" s="4">
        <v>837.97</v>
      </c>
      <c r="J23" s="4">
        <f>H23-I23</f>
        <v>4267.03</v>
      </c>
      <c r="K23" s="3">
        <v>46147</v>
      </c>
      <c r="L23">
        <f t="shared" si="0"/>
        <v>69</v>
      </c>
      <c r="M23" t="str">
        <f>IF(J23&lt;=0,"Paid",IF(L23=0,"Current",IF(L23&lt;=30,"1-30 Days",IF(L23&lt;=60,"31-60 Days",IF(L23&lt;=90,"61-90 Days","90+ Days")))))</f>
        <v>61-90 Days</v>
      </c>
      <c r="N23" t="s">
        <v>17</v>
      </c>
    </row>
    <row r="24" spans="1:14" hidden="1">
      <c r="A24" t="s">
        <v>110</v>
      </c>
      <c r="B24" t="s">
        <v>111</v>
      </c>
      <c r="C24" t="s">
        <v>27</v>
      </c>
      <c r="D24" t="s">
        <v>66</v>
      </c>
      <c r="E24">
        <v>2026</v>
      </c>
      <c r="F24" s="3">
        <v>46032</v>
      </c>
      <c r="G24" s="3">
        <v>46210</v>
      </c>
      <c r="H24" s="4">
        <v>4509</v>
      </c>
      <c r="I24" s="4">
        <v>354.48</v>
      </c>
      <c r="J24" s="4">
        <f>H24-I24</f>
        <v>4154.5200000000004</v>
      </c>
      <c r="K24" s="3">
        <v>46147</v>
      </c>
      <c r="L24">
        <f t="shared" si="0"/>
        <v>69</v>
      </c>
      <c r="M24" t="str">
        <f>IF(J24&lt;=0,"Paid",IF(L24=0,"Current",IF(L24&lt;=30,"1-30 Days",IF(L24&lt;=60,"31-60 Days",IF(L24&lt;=90,"61-90 Days","90+ Days")))))</f>
        <v>61-90 Days</v>
      </c>
      <c r="N24" t="s">
        <v>19</v>
      </c>
    </row>
    <row r="25" spans="1:14" hidden="1">
      <c r="A25" t="s">
        <v>112</v>
      </c>
      <c r="B25" t="s">
        <v>113</v>
      </c>
      <c r="C25" t="s">
        <v>27</v>
      </c>
      <c r="D25" t="s">
        <v>66</v>
      </c>
      <c r="E25">
        <v>2026</v>
      </c>
      <c r="F25" s="3">
        <v>46165</v>
      </c>
      <c r="G25" s="3">
        <v>46210</v>
      </c>
      <c r="H25" s="4">
        <v>4352</v>
      </c>
      <c r="I25" s="4">
        <v>227.91</v>
      </c>
      <c r="J25" s="4">
        <f>H25-I25</f>
        <v>4124.09</v>
      </c>
      <c r="K25" s="3">
        <v>46147</v>
      </c>
      <c r="L25">
        <f t="shared" si="0"/>
        <v>69</v>
      </c>
      <c r="M25" t="str">
        <f>IF(J25&lt;=0,"Paid",IF(L25=0,"Current",IF(L25&lt;=30,"1-30 Days",IF(L25&lt;=60,"31-60 Days",IF(L25&lt;=90,"61-90 Days","90+ Days")))))</f>
        <v>61-90 Days</v>
      </c>
      <c r="N25" t="s">
        <v>17</v>
      </c>
    </row>
    <row r="26" spans="1:14" hidden="1">
      <c r="A26" t="s">
        <v>114</v>
      </c>
      <c r="B26" t="s">
        <v>115</v>
      </c>
      <c r="C26" t="s">
        <v>25</v>
      </c>
      <c r="D26" t="s">
        <v>66</v>
      </c>
      <c r="E26">
        <v>2026</v>
      </c>
      <c r="F26" s="3">
        <v>46045</v>
      </c>
      <c r="G26" s="3">
        <v>46210</v>
      </c>
      <c r="H26" s="4">
        <v>4349</v>
      </c>
      <c r="I26" s="4">
        <v>331.25</v>
      </c>
      <c r="J26" s="4">
        <f>H26-I26</f>
        <v>4017.75</v>
      </c>
      <c r="K26" s="3">
        <v>46147</v>
      </c>
      <c r="L26">
        <f t="shared" si="0"/>
        <v>69</v>
      </c>
      <c r="M26" t="str">
        <f>IF(J26&lt;=0,"Paid",IF(L26=0,"Current",IF(L26&lt;=30,"1-30 Days",IF(L26&lt;=60,"31-60 Days",IF(L26&lt;=90,"61-90 Days","90+ Days")))))</f>
        <v>61-90 Days</v>
      </c>
      <c r="N26" t="s">
        <v>15</v>
      </c>
    </row>
    <row r="27" spans="1:14" hidden="1">
      <c r="A27" t="s">
        <v>116</v>
      </c>
      <c r="B27" t="s">
        <v>117</v>
      </c>
      <c r="C27" t="s">
        <v>27</v>
      </c>
      <c r="D27" t="s">
        <v>66</v>
      </c>
      <c r="E27">
        <v>2026</v>
      </c>
      <c r="F27" s="3">
        <v>45896</v>
      </c>
      <c r="G27" s="3">
        <v>46210</v>
      </c>
      <c r="H27" s="4">
        <v>4661</v>
      </c>
      <c r="I27" s="4">
        <v>671.66</v>
      </c>
      <c r="J27" s="4">
        <f>H27-I27</f>
        <v>3989.34</v>
      </c>
      <c r="K27" s="3">
        <v>46147</v>
      </c>
      <c r="L27">
        <f t="shared" si="0"/>
        <v>69</v>
      </c>
      <c r="M27" t="str">
        <f>IF(J27&lt;=0,"Paid",IF(L27=0,"Current",IF(L27&lt;=30,"1-30 Days",IF(L27&lt;=60,"31-60 Days",IF(L27&lt;=90,"61-90 Days","90+ Days")))))</f>
        <v>61-90 Days</v>
      </c>
      <c r="N27" t="s">
        <v>15</v>
      </c>
    </row>
    <row r="28" spans="1:14" hidden="1">
      <c r="A28" t="s">
        <v>118</v>
      </c>
      <c r="B28" t="s">
        <v>119</v>
      </c>
      <c r="C28" t="s">
        <v>27</v>
      </c>
      <c r="D28" t="s">
        <v>66</v>
      </c>
      <c r="E28">
        <v>2026</v>
      </c>
      <c r="F28" s="3">
        <v>45898</v>
      </c>
      <c r="G28" s="3">
        <v>46210</v>
      </c>
      <c r="H28" s="4">
        <v>4721</v>
      </c>
      <c r="I28" s="4">
        <v>769.91</v>
      </c>
      <c r="J28" s="4">
        <f>H28-I28</f>
        <v>3951.09</v>
      </c>
      <c r="K28" s="3">
        <v>46147</v>
      </c>
      <c r="L28">
        <f t="shared" si="0"/>
        <v>69</v>
      </c>
      <c r="M28" t="str">
        <f>IF(J28&lt;=0,"Paid",IF(L28=0,"Current",IF(L28&lt;=30,"1-30 Days",IF(L28&lt;=60,"31-60 Days",IF(L28&lt;=90,"61-90 Days","90+ Days")))))</f>
        <v>61-90 Days</v>
      </c>
      <c r="N28" t="s">
        <v>19</v>
      </c>
    </row>
    <row r="29" spans="1:14" hidden="1">
      <c r="A29" t="s">
        <v>120</v>
      </c>
      <c r="B29" t="s">
        <v>121</v>
      </c>
      <c r="C29" t="s">
        <v>28</v>
      </c>
      <c r="D29" t="s">
        <v>66</v>
      </c>
      <c r="E29">
        <v>2026</v>
      </c>
      <c r="F29" s="3">
        <v>46181</v>
      </c>
      <c r="G29" s="3">
        <v>46210</v>
      </c>
      <c r="H29" s="4">
        <v>4001</v>
      </c>
      <c r="I29" s="4">
        <v>54</v>
      </c>
      <c r="J29" s="4">
        <f>H29-I29</f>
        <v>3947</v>
      </c>
      <c r="K29" s="3">
        <v>46147</v>
      </c>
      <c r="L29">
        <f t="shared" si="0"/>
        <v>69</v>
      </c>
      <c r="M29" t="str">
        <f>IF(J29&lt;=0,"Paid",IF(L29=0,"Current",IF(L29&lt;=30,"1-30 Days",IF(L29&lt;=60,"31-60 Days",IF(L29&lt;=90,"61-90 Days","90+ Days")))))</f>
        <v>61-90 Days</v>
      </c>
      <c r="N29" t="s">
        <v>15</v>
      </c>
    </row>
    <row r="30" spans="1:14" hidden="1">
      <c r="A30" t="s">
        <v>122</v>
      </c>
      <c r="B30" t="s">
        <v>123</v>
      </c>
      <c r="C30" t="s">
        <v>27</v>
      </c>
      <c r="D30" t="s">
        <v>66</v>
      </c>
      <c r="E30">
        <v>2026</v>
      </c>
      <c r="F30" s="3">
        <v>46174</v>
      </c>
      <c r="G30" s="3">
        <v>46210</v>
      </c>
      <c r="H30" s="4">
        <v>4865</v>
      </c>
      <c r="I30" s="4">
        <v>919.32</v>
      </c>
      <c r="J30" s="4">
        <f>H30-I30</f>
        <v>3945.68</v>
      </c>
      <c r="K30" s="3">
        <v>46147</v>
      </c>
      <c r="L30">
        <f t="shared" si="0"/>
        <v>69</v>
      </c>
      <c r="M30" t="str">
        <f>IF(J30&lt;=0,"Paid",IF(L30=0,"Current",IF(L30&lt;=30,"1-30 Days",IF(L30&lt;=60,"31-60 Days",IF(L30&lt;=90,"61-90 Days","90+ Days")))))</f>
        <v>61-90 Days</v>
      </c>
      <c r="N30" t="s">
        <v>15</v>
      </c>
    </row>
    <row r="31" spans="1:14" hidden="1">
      <c r="A31" t="s">
        <v>124</v>
      </c>
      <c r="B31" t="s">
        <v>125</v>
      </c>
      <c r="C31" t="s">
        <v>26</v>
      </c>
      <c r="D31" t="s">
        <v>66</v>
      </c>
      <c r="E31">
        <v>2026</v>
      </c>
      <c r="F31" s="3">
        <v>45901</v>
      </c>
      <c r="G31" s="3">
        <v>46210</v>
      </c>
      <c r="H31" s="4">
        <v>5370</v>
      </c>
      <c r="I31" s="4">
        <v>1451.39</v>
      </c>
      <c r="J31" s="4">
        <f>H31-I31</f>
        <v>3918.6099999999997</v>
      </c>
      <c r="K31" s="3">
        <v>46147</v>
      </c>
      <c r="L31">
        <f t="shared" si="0"/>
        <v>69</v>
      </c>
      <c r="M31" t="str">
        <f>IF(J31&lt;=0,"Paid",IF(L31=0,"Current",IF(L31&lt;=30,"1-30 Days",IF(L31&lt;=60,"31-60 Days",IF(L31&lt;=90,"61-90 Days","90+ Days")))))</f>
        <v>61-90 Days</v>
      </c>
      <c r="N31" t="s">
        <v>17</v>
      </c>
    </row>
    <row r="32" spans="1:14" hidden="1">
      <c r="A32" t="s">
        <v>126</v>
      </c>
      <c r="B32" t="s">
        <v>127</v>
      </c>
      <c r="C32" t="s">
        <v>26</v>
      </c>
      <c r="D32" t="s">
        <v>66</v>
      </c>
      <c r="E32">
        <v>2026</v>
      </c>
      <c r="F32" s="3">
        <v>46176</v>
      </c>
      <c r="G32" s="3">
        <v>46210</v>
      </c>
      <c r="H32" s="4">
        <v>5422</v>
      </c>
      <c r="I32" s="4">
        <v>1529.23</v>
      </c>
      <c r="J32" s="4">
        <f>H32-I32</f>
        <v>3892.77</v>
      </c>
      <c r="K32" s="3">
        <v>46147</v>
      </c>
      <c r="L32">
        <f t="shared" si="0"/>
        <v>69</v>
      </c>
      <c r="M32" t="str">
        <f>IF(J32&lt;=0,"Paid",IF(L32=0,"Current",IF(L32&lt;=30,"1-30 Days",IF(L32&lt;=60,"31-60 Days",IF(L32&lt;=90,"61-90 Days","90+ Days")))))</f>
        <v>61-90 Days</v>
      </c>
      <c r="N32" t="s">
        <v>15</v>
      </c>
    </row>
    <row r="33" spans="1:14" hidden="1">
      <c r="A33" t="s">
        <v>128</v>
      </c>
      <c r="B33" t="s">
        <v>129</v>
      </c>
      <c r="C33" t="s">
        <v>29</v>
      </c>
      <c r="D33" t="s">
        <v>66</v>
      </c>
      <c r="E33">
        <v>2026</v>
      </c>
      <c r="F33" s="3">
        <v>46044</v>
      </c>
      <c r="G33" s="3">
        <v>46210</v>
      </c>
      <c r="H33" s="4">
        <v>3947</v>
      </c>
      <c r="I33" s="4">
        <v>62.72</v>
      </c>
      <c r="J33" s="4">
        <f>H33-I33</f>
        <v>3884.28</v>
      </c>
      <c r="K33" s="3">
        <v>46147</v>
      </c>
      <c r="L33">
        <f t="shared" si="0"/>
        <v>69</v>
      </c>
      <c r="M33" t="str">
        <f>IF(J33&lt;=0,"Paid",IF(L33=0,"Current",IF(L33&lt;=30,"1-30 Days",IF(L33&lt;=60,"31-60 Days",IF(L33&lt;=90,"61-90 Days","90+ Days")))))</f>
        <v>61-90 Days</v>
      </c>
      <c r="N33" t="s">
        <v>17</v>
      </c>
    </row>
    <row r="34" spans="1:14" hidden="1">
      <c r="A34" t="s">
        <v>130</v>
      </c>
      <c r="B34" t="s">
        <v>131</v>
      </c>
      <c r="C34" t="s">
        <v>27</v>
      </c>
      <c r="D34" t="s">
        <v>66</v>
      </c>
      <c r="E34">
        <v>2026</v>
      </c>
      <c r="F34" s="3">
        <v>45907</v>
      </c>
      <c r="G34" s="3">
        <v>46210</v>
      </c>
      <c r="H34" s="4">
        <v>4542</v>
      </c>
      <c r="I34" s="4">
        <v>663.83</v>
      </c>
      <c r="J34" s="4">
        <f>H34-I34</f>
        <v>3878.17</v>
      </c>
      <c r="K34" s="3">
        <v>46147</v>
      </c>
      <c r="L34">
        <f t="shared" si="0"/>
        <v>69</v>
      </c>
      <c r="M34" t="str">
        <f>IF(J34&lt;=0,"Paid",IF(L34=0,"Current",IF(L34&lt;=30,"1-30 Days",IF(L34&lt;=60,"31-60 Days",IF(L34&lt;=90,"61-90 Days","90+ Days")))))</f>
        <v>61-90 Days</v>
      </c>
      <c r="N34" t="s">
        <v>15</v>
      </c>
    </row>
    <row r="35" spans="1:14" hidden="1">
      <c r="A35" t="s">
        <v>132</v>
      </c>
      <c r="B35" t="s">
        <v>133</v>
      </c>
      <c r="C35" t="s">
        <v>28</v>
      </c>
      <c r="D35" t="s">
        <v>66</v>
      </c>
      <c r="E35">
        <v>2026</v>
      </c>
      <c r="F35" s="3">
        <v>46152</v>
      </c>
      <c r="G35" s="3">
        <v>46210</v>
      </c>
      <c r="H35" s="4">
        <v>3940</v>
      </c>
      <c r="I35" s="4">
        <v>82.5</v>
      </c>
      <c r="J35" s="4">
        <f>H35-I35</f>
        <v>3857.5</v>
      </c>
      <c r="K35" s="3">
        <v>46147</v>
      </c>
      <c r="L35">
        <f t="shared" si="0"/>
        <v>69</v>
      </c>
      <c r="M35" t="str">
        <f>IF(J35&lt;=0,"Paid",IF(L35=0,"Current",IF(L35&lt;=30,"1-30 Days",IF(L35&lt;=60,"31-60 Days",IF(L35&lt;=90,"61-90 Days","90+ Days")))))</f>
        <v>61-90 Days</v>
      </c>
      <c r="N35" t="s">
        <v>17</v>
      </c>
    </row>
    <row r="36" spans="1:14" hidden="1">
      <c r="A36" t="s">
        <v>134</v>
      </c>
      <c r="B36" t="s">
        <v>135</v>
      </c>
      <c r="C36" t="s">
        <v>27</v>
      </c>
      <c r="D36" t="s">
        <v>66</v>
      </c>
      <c r="E36">
        <v>2026</v>
      </c>
      <c r="F36" s="3">
        <v>46181</v>
      </c>
      <c r="G36" s="3">
        <v>46210</v>
      </c>
      <c r="H36" s="4">
        <v>4248</v>
      </c>
      <c r="I36" s="4">
        <v>393.54</v>
      </c>
      <c r="J36" s="4">
        <f>H36-I36</f>
        <v>3854.46</v>
      </c>
      <c r="K36" s="3">
        <v>46147</v>
      </c>
      <c r="L36">
        <f t="shared" si="0"/>
        <v>69</v>
      </c>
      <c r="M36" t="str">
        <f>IF(J36&lt;=0,"Paid",IF(L36=0,"Current",IF(L36&lt;=30,"1-30 Days",IF(L36&lt;=60,"31-60 Days",IF(L36&lt;=90,"61-90 Days","90+ Days")))))</f>
        <v>61-90 Days</v>
      </c>
      <c r="N36" t="s">
        <v>17</v>
      </c>
    </row>
    <row r="37" spans="1:14" hidden="1">
      <c r="A37" t="s">
        <v>136</v>
      </c>
      <c r="B37" t="s">
        <v>137</v>
      </c>
      <c r="C37" t="s">
        <v>26</v>
      </c>
      <c r="D37" t="s">
        <v>66</v>
      </c>
      <c r="E37">
        <v>2026</v>
      </c>
      <c r="F37" s="3">
        <v>46169</v>
      </c>
      <c r="G37" s="3">
        <v>46210</v>
      </c>
      <c r="H37" s="4">
        <v>5408</v>
      </c>
      <c r="I37" s="4">
        <v>1554.48</v>
      </c>
      <c r="J37" s="4">
        <f>H37-I37</f>
        <v>3853.52</v>
      </c>
      <c r="K37" s="3">
        <v>46147</v>
      </c>
      <c r="L37">
        <f t="shared" si="0"/>
        <v>69</v>
      </c>
      <c r="M37" t="str">
        <f>IF(J37&lt;=0,"Paid",IF(L37=0,"Current",IF(L37&lt;=30,"1-30 Days",IF(L37&lt;=60,"31-60 Days",IF(L37&lt;=90,"61-90 Days","90+ Days")))))</f>
        <v>61-90 Days</v>
      </c>
      <c r="N37" t="s">
        <v>15</v>
      </c>
    </row>
    <row r="38" spans="1:14" hidden="1">
      <c r="A38" t="s">
        <v>138</v>
      </c>
      <c r="B38" t="s">
        <v>139</v>
      </c>
      <c r="C38" t="s">
        <v>27</v>
      </c>
      <c r="D38" t="s">
        <v>66</v>
      </c>
      <c r="E38">
        <v>2026</v>
      </c>
      <c r="F38" s="3">
        <v>46152</v>
      </c>
      <c r="G38" s="3">
        <v>46210</v>
      </c>
      <c r="H38" s="4">
        <v>4244</v>
      </c>
      <c r="I38" s="4">
        <v>405.17</v>
      </c>
      <c r="J38" s="4">
        <f>H38-I38</f>
        <v>3838.83</v>
      </c>
      <c r="K38" s="3">
        <v>46147</v>
      </c>
      <c r="L38">
        <f t="shared" si="0"/>
        <v>69</v>
      </c>
      <c r="M38" t="str">
        <f>IF(J38&lt;=0,"Paid",IF(L38=0,"Current",IF(L38&lt;=30,"1-30 Days",IF(L38&lt;=60,"31-60 Days",IF(L38&lt;=90,"61-90 Days","90+ Days")))))</f>
        <v>61-90 Days</v>
      </c>
      <c r="N38" t="s">
        <v>15</v>
      </c>
    </row>
    <row r="39" spans="1:14" hidden="1">
      <c r="A39" t="s">
        <v>140</v>
      </c>
      <c r="B39" t="s">
        <v>141</v>
      </c>
      <c r="C39" t="s">
        <v>25</v>
      </c>
      <c r="D39" t="s">
        <v>66</v>
      </c>
      <c r="E39">
        <v>2026</v>
      </c>
      <c r="F39" s="3">
        <v>46046</v>
      </c>
      <c r="G39" s="3">
        <v>46210</v>
      </c>
      <c r="H39" s="4">
        <v>3941</v>
      </c>
      <c r="I39" s="4">
        <v>107.42</v>
      </c>
      <c r="J39" s="4">
        <f>H39-I39</f>
        <v>3833.58</v>
      </c>
      <c r="K39" s="3">
        <v>46147</v>
      </c>
      <c r="L39">
        <f t="shared" si="0"/>
        <v>69</v>
      </c>
      <c r="M39" t="str">
        <f>IF(J39&lt;=0,"Paid",IF(L39=0,"Current",IF(L39&lt;=30,"1-30 Days",IF(L39&lt;=60,"31-60 Days",IF(L39&lt;=90,"61-90 Days","90+ Days")))))</f>
        <v>61-90 Days</v>
      </c>
      <c r="N39" t="s">
        <v>17</v>
      </c>
    </row>
    <row r="40" spans="1:14" hidden="1">
      <c r="A40" t="s">
        <v>142</v>
      </c>
      <c r="B40" t="s">
        <v>143</v>
      </c>
      <c r="C40" t="s">
        <v>25</v>
      </c>
      <c r="D40" t="s">
        <v>66</v>
      </c>
      <c r="E40">
        <v>2026</v>
      </c>
      <c r="F40" s="3">
        <v>46175</v>
      </c>
      <c r="G40" s="3">
        <v>46210</v>
      </c>
      <c r="H40" s="4">
        <v>4097</v>
      </c>
      <c r="I40" s="4">
        <v>275.83999999999997</v>
      </c>
      <c r="J40" s="4">
        <f>H40-I40</f>
        <v>3821.16</v>
      </c>
      <c r="K40" s="3">
        <v>46147</v>
      </c>
      <c r="L40">
        <f t="shared" si="0"/>
        <v>69</v>
      </c>
      <c r="M40" t="str">
        <f>IF(J40&lt;=0,"Paid",IF(L40=0,"Current",IF(L40&lt;=30,"1-30 Days",IF(L40&lt;=60,"31-60 Days",IF(L40&lt;=90,"61-90 Days","90+ Days")))))</f>
        <v>61-90 Days</v>
      </c>
      <c r="N40" t="s">
        <v>17</v>
      </c>
    </row>
    <row r="41" spans="1:14" hidden="1">
      <c r="A41" t="s">
        <v>144</v>
      </c>
      <c r="B41" t="s">
        <v>145</v>
      </c>
      <c r="C41" t="s">
        <v>27</v>
      </c>
      <c r="D41" t="s">
        <v>66</v>
      </c>
      <c r="E41">
        <v>2026</v>
      </c>
      <c r="F41" s="3">
        <v>46028</v>
      </c>
      <c r="G41" s="3">
        <v>46210</v>
      </c>
      <c r="H41" s="4">
        <v>4317</v>
      </c>
      <c r="I41" s="4">
        <v>522.47</v>
      </c>
      <c r="J41" s="4">
        <f>H41-I41</f>
        <v>3794.5299999999997</v>
      </c>
      <c r="K41" s="3">
        <v>46147</v>
      </c>
      <c r="L41">
        <f t="shared" si="0"/>
        <v>69</v>
      </c>
      <c r="M41" t="str">
        <f>IF(J41&lt;=0,"Paid",IF(L41=0,"Current",IF(L41&lt;=30,"1-30 Days",IF(L41&lt;=60,"31-60 Days",IF(L41&lt;=90,"61-90 Days","90+ Days")))))</f>
        <v>61-90 Days</v>
      </c>
      <c r="N41" t="s">
        <v>15</v>
      </c>
    </row>
    <row r="42" spans="1:14" hidden="1">
      <c r="A42" t="s">
        <v>146</v>
      </c>
      <c r="B42" t="s">
        <v>147</v>
      </c>
      <c r="C42" t="s">
        <v>27</v>
      </c>
      <c r="D42" t="s">
        <v>66</v>
      </c>
      <c r="E42">
        <v>2026</v>
      </c>
      <c r="F42" s="3">
        <v>46049</v>
      </c>
      <c r="G42" s="3">
        <v>46210</v>
      </c>
      <c r="H42" s="4">
        <v>4444</v>
      </c>
      <c r="I42" s="4">
        <v>679.29</v>
      </c>
      <c r="J42" s="4">
        <f>H42-I42</f>
        <v>3764.71</v>
      </c>
      <c r="K42" s="3">
        <v>46147</v>
      </c>
      <c r="L42">
        <f t="shared" si="0"/>
        <v>69</v>
      </c>
      <c r="M42" t="str">
        <f>IF(J42&lt;=0,"Paid",IF(L42=0,"Current",IF(L42&lt;=30,"1-30 Days",IF(L42&lt;=60,"31-60 Days",IF(L42&lt;=90,"61-90 Days","90+ Days")))))</f>
        <v>61-90 Days</v>
      </c>
      <c r="N42" t="s">
        <v>15</v>
      </c>
    </row>
    <row r="43" spans="1:14" hidden="1">
      <c r="A43" t="s">
        <v>148</v>
      </c>
      <c r="B43" t="s">
        <v>149</v>
      </c>
      <c r="C43" t="s">
        <v>26</v>
      </c>
      <c r="D43" t="s">
        <v>66</v>
      </c>
      <c r="E43">
        <v>2026</v>
      </c>
      <c r="F43" s="3">
        <v>46155</v>
      </c>
      <c r="G43" s="3">
        <v>46210</v>
      </c>
      <c r="H43" s="4">
        <v>5072</v>
      </c>
      <c r="I43" s="4">
        <v>1311.64</v>
      </c>
      <c r="J43" s="4">
        <f>H43-I43</f>
        <v>3760.3599999999997</v>
      </c>
      <c r="K43" s="3">
        <v>46147</v>
      </c>
      <c r="L43">
        <f t="shared" si="0"/>
        <v>69</v>
      </c>
      <c r="M43" t="str">
        <f>IF(J43&lt;=0,"Paid",IF(L43=0,"Current",IF(L43&lt;=30,"1-30 Days",IF(L43&lt;=60,"31-60 Days",IF(L43&lt;=90,"61-90 Days","90+ Days")))))</f>
        <v>61-90 Days</v>
      </c>
      <c r="N43" t="s">
        <v>15</v>
      </c>
    </row>
    <row r="44" spans="1:14" hidden="1">
      <c r="A44" t="s">
        <v>150</v>
      </c>
      <c r="B44" t="s">
        <v>151</v>
      </c>
      <c r="C44" t="s">
        <v>25</v>
      </c>
      <c r="D44" t="s">
        <v>66</v>
      </c>
      <c r="E44">
        <v>2026</v>
      </c>
      <c r="F44" s="3">
        <v>46047</v>
      </c>
      <c r="G44" s="3">
        <v>46210</v>
      </c>
      <c r="H44" s="4">
        <v>4165</v>
      </c>
      <c r="I44" s="4">
        <v>462.53</v>
      </c>
      <c r="J44" s="4">
        <f>H44-I44</f>
        <v>3702.4700000000003</v>
      </c>
      <c r="K44" s="3">
        <v>46147</v>
      </c>
      <c r="L44">
        <f t="shared" si="0"/>
        <v>69</v>
      </c>
      <c r="M44" t="str">
        <f>IF(J44&lt;=0,"Paid",IF(L44=0,"Current",IF(L44&lt;=30,"1-30 Days",IF(L44&lt;=60,"31-60 Days",IF(L44&lt;=90,"61-90 Days","90+ Days")))))</f>
        <v>61-90 Days</v>
      </c>
      <c r="N44" t="s">
        <v>15</v>
      </c>
    </row>
    <row r="45" spans="1:14" hidden="1">
      <c r="A45" t="s">
        <v>152</v>
      </c>
      <c r="B45" t="s">
        <v>153</v>
      </c>
      <c r="C45" t="s">
        <v>29</v>
      </c>
      <c r="D45" t="s">
        <v>66</v>
      </c>
      <c r="E45">
        <v>2026</v>
      </c>
      <c r="F45" s="3">
        <v>45907</v>
      </c>
      <c r="G45" s="3">
        <v>46210</v>
      </c>
      <c r="H45" s="4">
        <v>4042</v>
      </c>
      <c r="I45" s="4">
        <v>348.17</v>
      </c>
      <c r="J45" s="4">
        <f>H45-I45</f>
        <v>3693.83</v>
      </c>
      <c r="K45" s="3">
        <v>46147</v>
      </c>
      <c r="L45">
        <f t="shared" si="0"/>
        <v>69</v>
      </c>
      <c r="M45" t="str">
        <f>IF(J45&lt;=0,"Paid",IF(L45=0,"Current",IF(L45&lt;=30,"1-30 Days",IF(L45&lt;=60,"31-60 Days",IF(L45&lt;=90,"61-90 Days","90+ Days")))))</f>
        <v>61-90 Days</v>
      </c>
      <c r="N45" t="s">
        <v>17</v>
      </c>
    </row>
    <row r="46" spans="1:14" hidden="1">
      <c r="A46" t="s">
        <v>154</v>
      </c>
      <c r="B46" t="s">
        <v>155</v>
      </c>
      <c r="C46" t="s">
        <v>25</v>
      </c>
      <c r="D46" t="s">
        <v>66</v>
      </c>
      <c r="E46">
        <v>2026</v>
      </c>
      <c r="F46" s="3">
        <v>45888</v>
      </c>
      <c r="G46" s="3">
        <v>46210</v>
      </c>
      <c r="H46" s="4">
        <v>3987</v>
      </c>
      <c r="I46" s="4">
        <v>294.31</v>
      </c>
      <c r="J46" s="4">
        <f>H46-I46</f>
        <v>3692.69</v>
      </c>
      <c r="K46" s="3">
        <v>46147</v>
      </c>
      <c r="L46">
        <f t="shared" si="0"/>
        <v>69</v>
      </c>
      <c r="M46" t="str">
        <f>IF(J46&lt;=0,"Paid",IF(L46=0,"Current",IF(L46&lt;=30,"1-30 Days",IF(L46&lt;=60,"31-60 Days",IF(L46&lt;=90,"61-90 Days","90+ Days")))))</f>
        <v>61-90 Days</v>
      </c>
      <c r="N46" t="s">
        <v>19</v>
      </c>
    </row>
    <row r="47" spans="1:14" hidden="1">
      <c r="A47" t="s">
        <v>156</v>
      </c>
      <c r="B47" t="s">
        <v>109</v>
      </c>
      <c r="C47" t="s">
        <v>28</v>
      </c>
      <c r="D47" t="s">
        <v>66</v>
      </c>
      <c r="E47">
        <v>2026</v>
      </c>
      <c r="F47" s="3">
        <v>45909</v>
      </c>
      <c r="G47" s="3">
        <v>46210</v>
      </c>
      <c r="H47" s="4">
        <v>4146</v>
      </c>
      <c r="I47" s="4">
        <v>465.47</v>
      </c>
      <c r="J47" s="4">
        <f>H47-I47</f>
        <v>3680.5299999999997</v>
      </c>
      <c r="K47" s="3">
        <v>46147</v>
      </c>
      <c r="L47">
        <f t="shared" si="0"/>
        <v>69</v>
      </c>
      <c r="M47" t="str">
        <f>IF(J47&lt;=0,"Paid",IF(L47=0,"Current",IF(L47&lt;=30,"1-30 Days",IF(L47&lt;=60,"31-60 Days",IF(L47&lt;=90,"61-90 Days","90+ Days")))))</f>
        <v>61-90 Days</v>
      </c>
      <c r="N47" t="s">
        <v>17</v>
      </c>
    </row>
    <row r="48" spans="1:14" hidden="1">
      <c r="A48" t="s">
        <v>157</v>
      </c>
      <c r="B48" t="s">
        <v>158</v>
      </c>
      <c r="C48" t="s">
        <v>28</v>
      </c>
      <c r="D48" t="s">
        <v>66</v>
      </c>
      <c r="E48">
        <v>2026</v>
      </c>
      <c r="F48" s="3">
        <v>46048</v>
      </c>
      <c r="G48" s="3">
        <v>46210</v>
      </c>
      <c r="H48" s="4">
        <v>4076</v>
      </c>
      <c r="I48" s="4">
        <v>395.48</v>
      </c>
      <c r="J48" s="4">
        <f>H48-I48</f>
        <v>3680.52</v>
      </c>
      <c r="K48" s="3">
        <v>46147</v>
      </c>
      <c r="L48">
        <f t="shared" si="0"/>
        <v>69</v>
      </c>
      <c r="M48" t="str">
        <f>IF(J48&lt;=0,"Paid",IF(L48=0,"Current",IF(L48&lt;=30,"1-30 Days",IF(L48&lt;=60,"31-60 Days",IF(L48&lt;=90,"61-90 Days","90+ Days")))))</f>
        <v>61-90 Days</v>
      </c>
      <c r="N48" t="s">
        <v>15</v>
      </c>
    </row>
    <row r="49" spans="1:14" hidden="1">
      <c r="A49" t="s">
        <v>159</v>
      </c>
      <c r="B49" t="s">
        <v>160</v>
      </c>
      <c r="C49" t="s">
        <v>25</v>
      </c>
      <c r="D49" t="s">
        <v>66</v>
      </c>
      <c r="E49">
        <v>2026</v>
      </c>
      <c r="F49" s="3">
        <v>46179</v>
      </c>
      <c r="G49" s="3">
        <v>46210</v>
      </c>
      <c r="H49" s="4">
        <v>3991</v>
      </c>
      <c r="I49" s="4">
        <v>342.66</v>
      </c>
      <c r="J49" s="4">
        <f>H49-I49</f>
        <v>3648.34</v>
      </c>
      <c r="K49" s="3">
        <v>46147</v>
      </c>
      <c r="L49">
        <f t="shared" si="0"/>
        <v>69</v>
      </c>
      <c r="M49" t="str">
        <f>IF(J49&lt;=0,"Paid",IF(L49=0,"Current",IF(L49&lt;=30,"1-30 Days",IF(L49&lt;=60,"31-60 Days",IF(L49&lt;=90,"61-90 Days","90+ Days")))))</f>
        <v>61-90 Days</v>
      </c>
      <c r="N49" t="s">
        <v>15</v>
      </c>
    </row>
    <row r="50" spans="1:14" hidden="1">
      <c r="A50" t="s">
        <v>161</v>
      </c>
      <c r="B50" t="s">
        <v>162</v>
      </c>
      <c r="C50" t="s">
        <v>27</v>
      </c>
      <c r="D50" t="s">
        <v>66</v>
      </c>
      <c r="E50">
        <v>2026</v>
      </c>
      <c r="F50" s="3">
        <v>46050</v>
      </c>
      <c r="G50" s="3">
        <v>46210</v>
      </c>
      <c r="H50" s="4">
        <v>4651</v>
      </c>
      <c r="I50" s="4">
        <v>1003.55</v>
      </c>
      <c r="J50" s="4">
        <f>H50-I50</f>
        <v>3647.45</v>
      </c>
      <c r="K50" s="3">
        <v>46147</v>
      </c>
      <c r="L50">
        <f t="shared" si="0"/>
        <v>69</v>
      </c>
      <c r="M50" t="str">
        <f>IF(J50&lt;=0,"Paid",IF(L50=0,"Current",IF(L50&lt;=30,"1-30 Days",IF(L50&lt;=60,"31-60 Days",IF(L50&lt;=90,"61-90 Days","90+ Days")))))</f>
        <v>61-90 Days</v>
      </c>
      <c r="N50" t="s">
        <v>17</v>
      </c>
    </row>
    <row r="51" spans="1:14" hidden="1">
      <c r="A51" t="s">
        <v>163</v>
      </c>
      <c r="B51" t="s">
        <v>164</v>
      </c>
      <c r="C51" t="s">
        <v>28</v>
      </c>
      <c r="D51" t="s">
        <v>66</v>
      </c>
      <c r="E51">
        <v>2026</v>
      </c>
      <c r="F51" s="3">
        <v>46180</v>
      </c>
      <c r="G51" s="3">
        <v>46210</v>
      </c>
      <c r="H51" s="4">
        <v>4081</v>
      </c>
      <c r="I51" s="4">
        <v>437.11</v>
      </c>
      <c r="J51" s="4">
        <f>H51-I51</f>
        <v>3643.89</v>
      </c>
      <c r="K51" s="3">
        <v>46147</v>
      </c>
      <c r="L51">
        <f t="shared" si="0"/>
        <v>69</v>
      </c>
      <c r="M51" t="str">
        <f>IF(J51&lt;=0,"Paid",IF(L51=0,"Current",IF(L51&lt;=30,"1-30 Days",IF(L51&lt;=60,"31-60 Days",IF(L51&lt;=90,"61-90 Days","90+ Days")))))</f>
        <v>61-90 Days</v>
      </c>
      <c r="N51" t="s">
        <v>15</v>
      </c>
    </row>
    <row r="52" spans="1:14" hidden="1">
      <c r="A52" t="s">
        <v>165</v>
      </c>
      <c r="B52" t="s">
        <v>166</v>
      </c>
      <c r="C52" t="s">
        <v>29</v>
      </c>
      <c r="D52" t="s">
        <v>66</v>
      </c>
      <c r="E52">
        <v>2026</v>
      </c>
      <c r="F52" s="3">
        <v>46040</v>
      </c>
      <c r="G52" s="3">
        <v>46210</v>
      </c>
      <c r="H52" s="4">
        <v>4300</v>
      </c>
      <c r="I52" s="4">
        <v>660.31</v>
      </c>
      <c r="J52" s="4">
        <f>H52-I52</f>
        <v>3639.69</v>
      </c>
      <c r="K52" s="3">
        <v>46147</v>
      </c>
      <c r="L52">
        <f t="shared" si="0"/>
        <v>69</v>
      </c>
      <c r="M52" t="str">
        <f>IF(J52&lt;=0,"Paid",IF(L52=0,"Current",IF(L52&lt;=30,"1-30 Days",IF(L52&lt;=60,"31-60 Days",IF(L52&lt;=90,"61-90 Days","90+ Days")))))</f>
        <v>61-90 Days</v>
      </c>
      <c r="N52" t="s">
        <v>15</v>
      </c>
    </row>
    <row r="53" spans="1:14" hidden="1">
      <c r="A53" t="s">
        <v>167</v>
      </c>
      <c r="B53" t="s">
        <v>168</v>
      </c>
      <c r="C53" t="s">
        <v>28</v>
      </c>
      <c r="D53" t="s">
        <v>66</v>
      </c>
      <c r="E53">
        <v>2026</v>
      </c>
      <c r="F53" s="3">
        <v>46148</v>
      </c>
      <c r="G53" s="3">
        <v>46210</v>
      </c>
      <c r="H53" s="4">
        <v>4092</v>
      </c>
      <c r="I53" s="4">
        <v>459.05</v>
      </c>
      <c r="J53" s="4">
        <f>H53-I53</f>
        <v>3632.95</v>
      </c>
      <c r="K53" s="3">
        <v>46147</v>
      </c>
      <c r="L53">
        <f t="shared" si="0"/>
        <v>69</v>
      </c>
      <c r="M53" t="str">
        <f>IF(J53&lt;=0,"Paid",IF(L53=0,"Current",IF(L53&lt;=30,"1-30 Days",IF(L53&lt;=60,"31-60 Days",IF(L53&lt;=90,"61-90 Days","90+ Days")))))</f>
        <v>61-90 Days</v>
      </c>
      <c r="N53" t="s">
        <v>15</v>
      </c>
    </row>
    <row r="54" spans="1:14" hidden="1">
      <c r="A54" t="s">
        <v>169</v>
      </c>
      <c r="B54" t="s">
        <v>170</v>
      </c>
      <c r="C54" t="s">
        <v>28</v>
      </c>
      <c r="D54" t="s">
        <v>66</v>
      </c>
      <c r="E54">
        <v>2026</v>
      </c>
      <c r="F54" s="3">
        <v>46159</v>
      </c>
      <c r="G54" s="3">
        <v>46210</v>
      </c>
      <c r="H54" s="4">
        <v>4082</v>
      </c>
      <c r="I54" s="4">
        <v>469.56</v>
      </c>
      <c r="J54" s="4">
        <f>H54-I54</f>
        <v>3612.44</v>
      </c>
      <c r="K54" s="3">
        <v>46147</v>
      </c>
      <c r="L54">
        <f t="shared" si="0"/>
        <v>69</v>
      </c>
      <c r="M54" t="str">
        <f>IF(J54&lt;=0,"Paid",IF(L54=0,"Current",IF(L54&lt;=30,"1-30 Days",IF(L54&lt;=60,"31-60 Days",IF(L54&lt;=90,"61-90 Days","90+ Days")))))</f>
        <v>61-90 Days</v>
      </c>
      <c r="N54" t="s">
        <v>15</v>
      </c>
    </row>
    <row r="55" spans="1:14" hidden="1">
      <c r="A55" t="s">
        <v>171</v>
      </c>
      <c r="B55" t="s">
        <v>172</v>
      </c>
      <c r="C55" t="s">
        <v>28</v>
      </c>
      <c r="D55" t="s">
        <v>66</v>
      </c>
      <c r="E55">
        <v>2026</v>
      </c>
      <c r="F55" s="3">
        <v>46033</v>
      </c>
      <c r="G55" s="3">
        <v>46210</v>
      </c>
      <c r="H55" s="4">
        <v>4020</v>
      </c>
      <c r="I55" s="4">
        <v>418.43</v>
      </c>
      <c r="J55" s="4">
        <f>H55-I55</f>
        <v>3601.57</v>
      </c>
      <c r="K55" s="3">
        <v>46147</v>
      </c>
      <c r="L55">
        <f t="shared" si="0"/>
        <v>69</v>
      </c>
      <c r="M55" t="str">
        <f>IF(J55&lt;=0,"Paid",IF(L55=0,"Current",IF(L55&lt;=30,"1-30 Days",IF(L55&lt;=60,"31-60 Days",IF(L55&lt;=90,"61-90 Days","90+ Days")))))</f>
        <v>61-90 Days</v>
      </c>
      <c r="N55" t="s">
        <v>17</v>
      </c>
    </row>
    <row r="56" spans="1:14" hidden="1">
      <c r="A56" t="s">
        <v>173</v>
      </c>
      <c r="B56" t="s">
        <v>174</v>
      </c>
      <c r="C56" t="s">
        <v>25</v>
      </c>
      <c r="D56" t="s">
        <v>66</v>
      </c>
      <c r="E56">
        <v>2026</v>
      </c>
      <c r="F56" s="3">
        <v>45894</v>
      </c>
      <c r="G56" s="3">
        <v>46210</v>
      </c>
      <c r="H56" s="4">
        <v>4095</v>
      </c>
      <c r="I56" s="4">
        <v>508.48</v>
      </c>
      <c r="J56" s="4">
        <f>H56-I56</f>
        <v>3586.52</v>
      </c>
      <c r="K56" s="3">
        <v>46147</v>
      </c>
      <c r="L56">
        <f t="shared" si="0"/>
        <v>69</v>
      </c>
      <c r="M56" t="str">
        <f>IF(J56&lt;=0,"Paid",IF(L56=0,"Current",IF(L56&lt;=30,"1-30 Days",IF(L56&lt;=60,"31-60 Days",IF(L56&lt;=90,"61-90 Days","90+ Days")))))</f>
        <v>61-90 Days</v>
      </c>
      <c r="N56" t="s">
        <v>17</v>
      </c>
    </row>
    <row r="57" spans="1:14" hidden="1">
      <c r="A57" t="s">
        <v>175</v>
      </c>
      <c r="B57" t="s">
        <v>176</v>
      </c>
      <c r="C57" t="s">
        <v>25</v>
      </c>
      <c r="D57" t="s">
        <v>66</v>
      </c>
      <c r="E57">
        <v>2026</v>
      </c>
      <c r="F57" s="3">
        <v>45887</v>
      </c>
      <c r="G57" s="3">
        <v>46210</v>
      </c>
      <c r="H57" s="4">
        <v>3855</v>
      </c>
      <c r="I57" s="4">
        <v>269.69</v>
      </c>
      <c r="J57" s="4">
        <f>H57-I57</f>
        <v>3585.31</v>
      </c>
      <c r="K57" s="3">
        <v>46147</v>
      </c>
      <c r="L57">
        <f t="shared" si="0"/>
        <v>69</v>
      </c>
      <c r="M57" t="str">
        <f>IF(J57&lt;=0,"Paid",IF(L57=0,"Current",IF(L57&lt;=30,"1-30 Days",IF(L57&lt;=60,"31-60 Days",IF(L57&lt;=90,"61-90 Days","90+ Days")))))</f>
        <v>61-90 Days</v>
      </c>
      <c r="N57" t="s">
        <v>19</v>
      </c>
    </row>
    <row r="58" spans="1:14" hidden="1">
      <c r="A58" t="s">
        <v>177</v>
      </c>
      <c r="B58" t="s">
        <v>69</v>
      </c>
      <c r="C58" t="s">
        <v>28</v>
      </c>
      <c r="D58" t="s">
        <v>66</v>
      </c>
      <c r="E58">
        <v>2026</v>
      </c>
      <c r="F58" s="3">
        <v>45887</v>
      </c>
      <c r="G58" s="3">
        <v>46210</v>
      </c>
      <c r="H58" s="4">
        <v>3958</v>
      </c>
      <c r="I58" s="4">
        <v>374.1</v>
      </c>
      <c r="J58" s="4">
        <f>H58-I58</f>
        <v>3583.9</v>
      </c>
      <c r="K58" s="3">
        <v>46147</v>
      </c>
      <c r="L58">
        <f t="shared" si="0"/>
        <v>69</v>
      </c>
      <c r="M58" t="str">
        <f>IF(J58&lt;=0,"Paid",IF(L58=0,"Current",IF(L58&lt;=30,"1-30 Days",IF(L58&lt;=60,"31-60 Days",IF(L58&lt;=90,"61-90 Days","90+ Days")))))</f>
        <v>61-90 Days</v>
      </c>
      <c r="N58" t="s">
        <v>17</v>
      </c>
    </row>
    <row r="59" spans="1:14" hidden="1">
      <c r="A59" t="s">
        <v>178</v>
      </c>
      <c r="B59" t="s">
        <v>179</v>
      </c>
      <c r="C59" t="s">
        <v>25</v>
      </c>
      <c r="D59" t="s">
        <v>66</v>
      </c>
      <c r="E59">
        <v>2026</v>
      </c>
      <c r="F59" s="3">
        <v>45914</v>
      </c>
      <c r="G59" s="3">
        <v>46210</v>
      </c>
      <c r="H59" s="4">
        <v>3863</v>
      </c>
      <c r="I59" s="4">
        <v>285.73</v>
      </c>
      <c r="J59" s="4">
        <f>H59-I59</f>
        <v>3577.27</v>
      </c>
      <c r="K59" s="3">
        <v>46147</v>
      </c>
      <c r="L59">
        <f t="shared" si="0"/>
        <v>69</v>
      </c>
      <c r="M59" t="str">
        <f>IF(J59&lt;=0,"Paid",IF(L59=0,"Current",IF(L59&lt;=30,"1-30 Days",IF(L59&lt;=60,"31-60 Days",IF(L59&lt;=90,"61-90 Days","90+ Days")))))</f>
        <v>61-90 Days</v>
      </c>
      <c r="N59" t="s">
        <v>15</v>
      </c>
    </row>
    <row r="60" spans="1:14" hidden="1">
      <c r="A60" t="s">
        <v>180</v>
      </c>
      <c r="B60" t="s">
        <v>181</v>
      </c>
      <c r="C60" t="s">
        <v>28</v>
      </c>
      <c r="D60" t="s">
        <v>66</v>
      </c>
      <c r="E60">
        <v>2026</v>
      </c>
      <c r="F60" s="3">
        <v>46154</v>
      </c>
      <c r="G60" s="3">
        <v>46210</v>
      </c>
      <c r="H60" s="4">
        <v>4095</v>
      </c>
      <c r="I60" s="4">
        <v>527.85</v>
      </c>
      <c r="J60" s="4">
        <f>H60-I60</f>
        <v>3567.15</v>
      </c>
      <c r="K60" s="3">
        <v>46147</v>
      </c>
      <c r="L60">
        <f t="shared" si="0"/>
        <v>69</v>
      </c>
      <c r="M60" t="str">
        <f>IF(J60&lt;=0,"Paid",IF(L60=0,"Current",IF(L60&lt;=30,"1-30 Days",IF(L60&lt;=60,"31-60 Days",IF(L60&lt;=90,"61-90 Days","90+ Days")))))</f>
        <v>61-90 Days</v>
      </c>
      <c r="N60" t="s">
        <v>17</v>
      </c>
    </row>
    <row r="61" spans="1:14" hidden="1">
      <c r="A61" t="s">
        <v>182</v>
      </c>
      <c r="B61" t="s">
        <v>183</v>
      </c>
      <c r="C61" t="s">
        <v>25</v>
      </c>
      <c r="D61" t="s">
        <v>66</v>
      </c>
      <c r="E61">
        <v>2026</v>
      </c>
      <c r="F61" s="3">
        <v>46170</v>
      </c>
      <c r="G61" s="3">
        <v>46210</v>
      </c>
      <c r="H61" s="4">
        <v>4016</v>
      </c>
      <c r="I61" s="4">
        <v>454.02</v>
      </c>
      <c r="J61" s="4">
        <f>H61-I61</f>
        <v>3561.98</v>
      </c>
      <c r="K61" s="3">
        <v>46147</v>
      </c>
      <c r="L61">
        <f t="shared" si="0"/>
        <v>69</v>
      </c>
      <c r="M61" t="str">
        <f>IF(J61&lt;=0,"Paid",IF(L61=0,"Current",IF(L61&lt;=30,"1-30 Days",IF(L61&lt;=60,"31-60 Days",IF(L61&lt;=90,"61-90 Days","90+ Days")))))</f>
        <v>61-90 Days</v>
      </c>
      <c r="N61" t="s">
        <v>15</v>
      </c>
    </row>
    <row r="62" spans="1:14" hidden="1">
      <c r="A62" t="s">
        <v>184</v>
      </c>
      <c r="B62" t="s">
        <v>185</v>
      </c>
      <c r="C62" t="s">
        <v>28</v>
      </c>
      <c r="D62" t="s">
        <v>66</v>
      </c>
      <c r="E62">
        <v>2026</v>
      </c>
      <c r="F62" s="3">
        <v>46147</v>
      </c>
      <c r="G62" s="3">
        <v>46210</v>
      </c>
      <c r="H62" s="4">
        <v>3765</v>
      </c>
      <c r="I62" s="4">
        <v>204.98</v>
      </c>
      <c r="J62" s="4">
        <f>H62-I62</f>
        <v>3560.02</v>
      </c>
      <c r="K62" s="3">
        <v>46147</v>
      </c>
      <c r="L62">
        <f t="shared" si="0"/>
        <v>69</v>
      </c>
      <c r="M62" t="str">
        <f>IF(J62&lt;=0,"Paid",IF(L62=0,"Current",IF(L62&lt;=30,"1-30 Days",IF(L62&lt;=60,"31-60 Days",IF(L62&lt;=90,"61-90 Days","90+ Days")))))</f>
        <v>61-90 Days</v>
      </c>
      <c r="N62" t="s">
        <v>15</v>
      </c>
    </row>
    <row r="63" spans="1:14" hidden="1">
      <c r="A63" t="s">
        <v>186</v>
      </c>
      <c r="B63" t="s">
        <v>119</v>
      </c>
      <c r="C63" t="s">
        <v>27</v>
      </c>
      <c r="D63" t="s">
        <v>66</v>
      </c>
      <c r="E63">
        <v>2026</v>
      </c>
      <c r="F63" s="3">
        <v>46037</v>
      </c>
      <c r="G63" s="3">
        <v>46210</v>
      </c>
      <c r="H63" s="4">
        <v>4687</v>
      </c>
      <c r="I63" s="4">
        <v>1133.04</v>
      </c>
      <c r="J63" s="4">
        <f>H63-I63</f>
        <v>3553.96</v>
      </c>
      <c r="K63" s="3">
        <v>46147</v>
      </c>
      <c r="L63">
        <f t="shared" si="0"/>
        <v>69</v>
      </c>
      <c r="M63" t="str">
        <f>IF(J63&lt;=0,"Paid",IF(L63=0,"Current",IF(L63&lt;=30,"1-30 Days",IF(L63&lt;=60,"31-60 Days",IF(L63&lt;=90,"61-90 Days","90+ Days")))))</f>
        <v>61-90 Days</v>
      </c>
      <c r="N63" t="s">
        <v>15</v>
      </c>
    </row>
    <row r="64" spans="1:14" hidden="1">
      <c r="A64" t="s">
        <v>187</v>
      </c>
      <c r="B64" t="s">
        <v>188</v>
      </c>
      <c r="C64" t="s">
        <v>26</v>
      </c>
      <c r="D64" t="s">
        <v>66</v>
      </c>
      <c r="E64">
        <v>2026</v>
      </c>
      <c r="F64" s="3">
        <v>46037</v>
      </c>
      <c r="G64" s="3">
        <v>46210</v>
      </c>
      <c r="H64" s="4">
        <v>5131</v>
      </c>
      <c r="I64" s="4">
        <v>1595.11</v>
      </c>
      <c r="J64" s="4">
        <f>H64-I64</f>
        <v>3535.8900000000003</v>
      </c>
      <c r="K64" s="3">
        <v>46147</v>
      </c>
      <c r="L64">
        <f t="shared" si="0"/>
        <v>69</v>
      </c>
      <c r="M64" t="str">
        <f>IF(J64&lt;=0,"Paid",IF(L64=0,"Current",IF(L64&lt;=30,"1-30 Days",IF(L64&lt;=60,"31-60 Days",IF(L64&lt;=90,"61-90 Days","90+ Days")))))</f>
        <v>61-90 Days</v>
      </c>
      <c r="N64" t="s">
        <v>15</v>
      </c>
    </row>
    <row r="65" spans="1:14" hidden="1">
      <c r="A65" t="s">
        <v>189</v>
      </c>
      <c r="B65" t="s">
        <v>190</v>
      </c>
      <c r="C65" t="s">
        <v>25</v>
      </c>
      <c r="D65" t="s">
        <v>66</v>
      </c>
      <c r="E65">
        <v>2026</v>
      </c>
      <c r="F65" s="3">
        <v>46029</v>
      </c>
      <c r="G65" s="3">
        <v>46210</v>
      </c>
      <c r="H65" s="4">
        <v>4083</v>
      </c>
      <c r="I65" s="4">
        <v>587.72</v>
      </c>
      <c r="J65" s="4">
        <f>H65-I65</f>
        <v>3495.2799999999997</v>
      </c>
      <c r="K65" s="3">
        <v>46147</v>
      </c>
      <c r="L65">
        <f t="shared" si="0"/>
        <v>69</v>
      </c>
      <c r="M65" t="str">
        <f>IF(J65&lt;=0,"Paid",IF(L65=0,"Current",IF(L65&lt;=30,"1-30 Days",IF(L65&lt;=60,"31-60 Days",IF(L65&lt;=90,"61-90 Days","90+ Days")))))</f>
        <v>61-90 Days</v>
      </c>
      <c r="N65" t="s">
        <v>17</v>
      </c>
    </row>
    <row r="66" spans="1:14" hidden="1">
      <c r="A66" t="s">
        <v>191</v>
      </c>
      <c r="B66" t="s">
        <v>155</v>
      </c>
      <c r="C66" t="s">
        <v>26</v>
      </c>
      <c r="D66" t="s">
        <v>66</v>
      </c>
      <c r="E66">
        <v>2026</v>
      </c>
      <c r="F66" s="3">
        <v>46052</v>
      </c>
      <c r="G66" s="3">
        <v>46210</v>
      </c>
      <c r="H66" s="4">
        <v>5318</v>
      </c>
      <c r="I66" s="4">
        <v>1823.71</v>
      </c>
      <c r="J66" s="4">
        <f>H66-I66</f>
        <v>3494.29</v>
      </c>
      <c r="K66" s="3">
        <v>46147</v>
      </c>
      <c r="L66">
        <f t="shared" si="0"/>
        <v>69</v>
      </c>
      <c r="M66" t="str">
        <f>IF(J66&lt;=0,"Paid",IF(L66=0,"Current",IF(L66&lt;=30,"1-30 Days",IF(L66&lt;=60,"31-60 Days",IF(L66&lt;=90,"61-90 Days","90+ Days")))))</f>
        <v>61-90 Days</v>
      </c>
      <c r="N66" t="s">
        <v>17</v>
      </c>
    </row>
    <row r="67" spans="1:14" hidden="1">
      <c r="A67" t="s">
        <v>192</v>
      </c>
      <c r="B67" t="s">
        <v>193</v>
      </c>
      <c r="C67" t="s">
        <v>27</v>
      </c>
      <c r="D67" t="s">
        <v>66</v>
      </c>
      <c r="E67">
        <v>2026</v>
      </c>
      <c r="F67" s="3">
        <v>46175</v>
      </c>
      <c r="G67" s="3">
        <v>46210</v>
      </c>
      <c r="H67" s="4">
        <v>4640</v>
      </c>
      <c r="I67" s="4">
        <v>1155.2</v>
      </c>
      <c r="J67" s="4">
        <f>H67-I67</f>
        <v>3484.8</v>
      </c>
      <c r="K67" s="3">
        <v>46147</v>
      </c>
      <c r="L67">
        <f t="shared" ref="L67:L130" si="1">IF(J67&lt;=0,0,MAX(0,$O$3-K67))</f>
        <v>69</v>
      </c>
      <c r="M67" t="str">
        <f>IF(J67&lt;=0,"Paid",IF(L67=0,"Current",IF(L67&lt;=30,"1-30 Days",IF(L67&lt;=60,"31-60 Days",IF(L67&lt;=90,"61-90 Days","90+ Days")))))</f>
        <v>61-90 Days</v>
      </c>
      <c r="N67" t="s">
        <v>15</v>
      </c>
    </row>
    <row r="68" spans="1:14" hidden="1">
      <c r="A68" t="s">
        <v>194</v>
      </c>
      <c r="B68" t="s">
        <v>195</v>
      </c>
      <c r="C68" t="s">
        <v>28</v>
      </c>
      <c r="D68" t="s">
        <v>66</v>
      </c>
      <c r="E68">
        <v>2026</v>
      </c>
      <c r="F68" s="3">
        <v>46051</v>
      </c>
      <c r="G68" s="3">
        <v>46210</v>
      </c>
      <c r="H68" s="4">
        <v>4152</v>
      </c>
      <c r="I68" s="4">
        <v>672.48</v>
      </c>
      <c r="J68" s="4">
        <f>H68-I68</f>
        <v>3479.52</v>
      </c>
      <c r="K68" s="3">
        <v>46147</v>
      </c>
      <c r="L68">
        <f t="shared" si="1"/>
        <v>69</v>
      </c>
      <c r="M68" t="str">
        <f>IF(J68&lt;=0,"Paid",IF(L68=0,"Current",IF(L68&lt;=30,"1-30 Days",IF(L68&lt;=60,"31-60 Days",IF(L68&lt;=90,"61-90 Days","90+ Days")))))</f>
        <v>61-90 Days</v>
      </c>
      <c r="N68" t="s">
        <v>15</v>
      </c>
    </row>
    <row r="69" spans="1:14" hidden="1">
      <c r="A69" t="s">
        <v>196</v>
      </c>
      <c r="B69" t="s">
        <v>197</v>
      </c>
      <c r="C69" t="s">
        <v>25</v>
      </c>
      <c r="D69" t="s">
        <v>66</v>
      </c>
      <c r="E69">
        <v>2026</v>
      </c>
      <c r="F69" s="3">
        <v>46038</v>
      </c>
      <c r="G69" s="3">
        <v>46210</v>
      </c>
      <c r="H69" s="4">
        <v>4108</v>
      </c>
      <c r="I69" s="4">
        <v>670.13</v>
      </c>
      <c r="J69" s="4">
        <f>H69-I69</f>
        <v>3437.87</v>
      </c>
      <c r="K69" s="3">
        <v>46147</v>
      </c>
      <c r="L69">
        <f t="shared" si="1"/>
        <v>69</v>
      </c>
      <c r="M69" t="str">
        <f>IF(J69&lt;=0,"Paid",IF(L69=0,"Current",IF(L69&lt;=30,"1-30 Days",IF(L69&lt;=60,"31-60 Days",IF(L69&lt;=90,"61-90 Days","90+ Days")))))</f>
        <v>61-90 Days</v>
      </c>
      <c r="N69" t="s">
        <v>17</v>
      </c>
    </row>
    <row r="70" spans="1:14" hidden="1">
      <c r="A70" t="s">
        <v>198</v>
      </c>
      <c r="B70" t="s">
        <v>199</v>
      </c>
      <c r="C70" t="s">
        <v>26</v>
      </c>
      <c r="D70" t="s">
        <v>66</v>
      </c>
      <c r="E70">
        <v>2026</v>
      </c>
      <c r="F70" s="3">
        <v>45886</v>
      </c>
      <c r="G70" s="3">
        <v>46210</v>
      </c>
      <c r="H70" s="4">
        <v>5264</v>
      </c>
      <c r="I70" s="4">
        <v>1831.47</v>
      </c>
      <c r="J70" s="4">
        <f>H70-I70</f>
        <v>3432.5299999999997</v>
      </c>
      <c r="K70" s="3">
        <v>46147</v>
      </c>
      <c r="L70">
        <f t="shared" si="1"/>
        <v>69</v>
      </c>
      <c r="M70" t="str">
        <f>IF(J70&lt;=0,"Paid",IF(L70=0,"Current",IF(L70&lt;=30,"1-30 Days",IF(L70&lt;=60,"31-60 Days",IF(L70&lt;=90,"61-90 Days","90+ Days")))))</f>
        <v>61-90 Days</v>
      </c>
      <c r="N70" t="s">
        <v>17</v>
      </c>
    </row>
    <row r="71" spans="1:14" hidden="1">
      <c r="A71" t="s">
        <v>200</v>
      </c>
      <c r="B71" t="s">
        <v>201</v>
      </c>
      <c r="C71" t="s">
        <v>25</v>
      </c>
      <c r="D71" t="s">
        <v>66</v>
      </c>
      <c r="E71">
        <v>2026</v>
      </c>
      <c r="F71" s="3">
        <v>45891</v>
      </c>
      <c r="G71" s="3">
        <v>46210</v>
      </c>
      <c r="H71" s="4">
        <v>3926</v>
      </c>
      <c r="I71" s="4">
        <v>506.4</v>
      </c>
      <c r="J71" s="4">
        <f>H71-I71</f>
        <v>3419.6</v>
      </c>
      <c r="K71" s="3">
        <v>46147</v>
      </c>
      <c r="L71">
        <f t="shared" si="1"/>
        <v>69</v>
      </c>
      <c r="M71" t="str">
        <f>IF(J71&lt;=0,"Paid",IF(L71=0,"Current",IF(L71&lt;=30,"1-30 Days",IF(L71&lt;=60,"31-60 Days",IF(L71&lt;=90,"61-90 Days","90+ Days")))))</f>
        <v>61-90 Days</v>
      </c>
      <c r="N71" t="s">
        <v>17</v>
      </c>
    </row>
    <row r="72" spans="1:14" hidden="1">
      <c r="A72" t="s">
        <v>202</v>
      </c>
      <c r="B72" t="s">
        <v>203</v>
      </c>
      <c r="C72" t="s">
        <v>28</v>
      </c>
      <c r="D72" t="s">
        <v>66</v>
      </c>
      <c r="E72">
        <v>2026</v>
      </c>
      <c r="F72" s="3">
        <v>46156</v>
      </c>
      <c r="G72" s="3">
        <v>46210</v>
      </c>
      <c r="H72" s="4">
        <v>4105</v>
      </c>
      <c r="I72" s="4">
        <v>712.11</v>
      </c>
      <c r="J72" s="4">
        <f>H72-I72</f>
        <v>3392.89</v>
      </c>
      <c r="K72" s="3">
        <v>46147</v>
      </c>
      <c r="L72">
        <f t="shared" si="1"/>
        <v>69</v>
      </c>
      <c r="M72" t="str">
        <f>IF(J72&lt;=0,"Paid",IF(L72=0,"Current",IF(L72&lt;=30,"1-30 Days",IF(L72&lt;=60,"31-60 Days",IF(L72&lt;=90,"61-90 Days","90+ Days")))))</f>
        <v>61-90 Days</v>
      </c>
      <c r="N72" t="s">
        <v>15</v>
      </c>
    </row>
    <row r="73" spans="1:14" hidden="1">
      <c r="A73" t="s">
        <v>204</v>
      </c>
      <c r="B73" t="s">
        <v>205</v>
      </c>
      <c r="C73" t="s">
        <v>25</v>
      </c>
      <c r="D73" t="s">
        <v>66</v>
      </c>
      <c r="E73">
        <v>2026</v>
      </c>
      <c r="F73" s="3">
        <v>46163</v>
      </c>
      <c r="G73" s="3">
        <v>46210</v>
      </c>
      <c r="H73" s="4">
        <v>4129</v>
      </c>
      <c r="I73" s="4">
        <v>753.36</v>
      </c>
      <c r="J73" s="4">
        <f>H73-I73</f>
        <v>3375.64</v>
      </c>
      <c r="K73" s="3">
        <v>46147</v>
      </c>
      <c r="L73">
        <f t="shared" si="1"/>
        <v>69</v>
      </c>
      <c r="M73" t="str">
        <f>IF(J73&lt;=0,"Paid",IF(L73=0,"Current",IF(L73&lt;=30,"1-30 Days",IF(L73&lt;=60,"31-60 Days",IF(L73&lt;=90,"61-90 Days","90+ Days")))))</f>
        <v>61-90 Days</v>
      </c>
      <c r="N73" t="s">
        <v>15</v>
      </c>
    </row>
    <row r="74" spans="1:14" hidden="1">
      <c r="A74" t="s">
        <v>206</v>
      </c>
      <c r="B74" t="s">
        <v>207</v>
      </c>
      <c r="C74" t="s">
        <v>25</v>
      </c>
      <c r="D74" t="s">
        <v>66</v>
      </c>
      <c r="E74">
        <v>2026</v>
      </c>
      <c r="F74" s="3">
        <v>45913</v>
      </c>
      <c r="G74" s="3">
        <v>46210</v>
      </c>
      <c r="H74" s="4">
        <v>4224</v>
      </c>
      <c r="I74" s="4">
        <v>852.3</v>
      </c>
      <c r="J74" s="4">
        <f>H74-I74</f>
        <v>3371.7</v>
      </c>
      <c r="K74" s="3">
        <v>46147</v>
      </c>
      <c r="L74">
        <f t="shared" si="1"/>
        <v>69</v>
      </c>
      <c r="M74" t="str">
        <f>IF(J74&lt;=0,"Paid",IF(L74=0,"Current",IF(L74&lt;=30,"1-30 Days",IF(L74&lt;=60,"31-60 Days",IF(L74&lt;=90,"61-90 Days","90+ Days")))))</f>
        <v>61-90 Days</v>
      </c>
      <c r="N74" t="s">
        <v>15</v>
      </c>
    </row>
    <row r="75" spans="1:14" hidden="1">
      <c r="A75" t="s">
        <v>208</v>
      </c>
      <c r="B75" t="s">
        <v>209</v>
      </c>
      <c r="C75" t="s">
        <v>28</v>
      </c>
      <c r="D75" t="s">
        <v>66</v>
      </c>
      <c r="E75">
        <v>2026</v>
      </c>
      <c r="F75" s="3">
        <v>46150</v>
      </c>
      <c r="G75" s="3">
        <v>46210</v>
      </c>
      <c r="H75" s="4">
        <v>3734</v>
      </c>
      <c r="I75" s="4">
        <v>367.73</v>
      </c>
      <c r="J75" s="4">
        <f>H75-I75</f>
        <v>3366.27</v>
      </c>
      <c r="K75" s="3">
        <v>46147</v>
      </c>
      <c r="L75">
        <f t="shared" si="1"/>
        <v>69</v>
      </c>
      <c r="M75" t="str">
        <f>IF(J75&lt;=0,"Paid",IF(L75=0,"Current",IF(L75&lt;=30,"1-30 Days",IF(L75&lt;=60,"31-60 Days",IF(L75&lt;=90,"61-90 Days","90+ Days")))))</f>
        <v>61-90 Days</v>
      </c>
      <c r="N75" t="s">
        <v>15</v>
      </c>
    </row>
    <row r="76" spans="1:14" hidden="1">
      <c r="A76" t="s">
        <v>210</v>
      </c>
      <c r="B76" t="s">
        <v>211</v>
      </c>
      <c r="C76" t="s">
        <v>25</v>
      </c>
      <c r="D76" t="s">
        <v>66</v>
      </c>
      <c r="E76">
        <v>2026</v>
      </c>
      <c r="F76" s="3">
        <v>45895</v>
      </c>
      <c r="G76" s="3">
        <v>46210</v>
      </c>
      <c r="H76" s="4">
        <v>3763</v>
      </c>
      <c r="I76" s="4">
        <v>417.39</v>
      </c>
      <c r="J76" s="4">
        <f>H76-I76</f>
        <v>3345.61</v>
      </c>
      <c r="K76" s="3">
        <v>46147</v>
      </c>
      <c r="L76">
        <f t="shared" si="1"/>
        <v>69</v>
      </c>
      <c r="M76" t="str">
        <f>IF(J76&lt;=0,"Paid",IF(L76=0,"Current",IF(L76&lt;=30,"1-30 Days",IF(L76&lt;=60,"31-60 Days",IF(L76&lt;=90,"61-90 Days","90+ Days")))))</f>
        <v>61-90 Days</v>
      </c>
      <c r="N76" t="s">
        <v>17</v>
      </c>
    </row>
    <row r="77" spans="1:14" hidden="1">
      <c r="A77" t="s">
        <v>212</v>
      </c>
      <c r="B77" t="s">
        <v>213</v>
      </c>
      <c r="C77" t="s">
        <v>29</v>
      </c>
      <c r="D77" t="s">
        <v>66</v>
      </c>
      <c r="E77">
        <v>2026</v>
      </c>
      <c r="F77" s="3">
        <v>46151</v>
      </c>
      <c r="G77" s="3">
        <v>46210</v>
      </c>
      <c r="H77" s="4">
        <v>3757</v>
      </c>
      <c r="I77" s="4">
        <v>433.35</v>
      </c>
      <c r="J77" s="4">
        <f>H77-I77</f>
        <v>3323.65</v>
      </c>
      <c r="K77" s="3">
        <v>46147</v>
      </c>
      <c r="L77">
        <f t="shared" si="1"/>
        <v>69</v>
      </c>
      <c r="M77" t="str">
        <f>IF(J77&lt;=0,"Paid",IF(L77=0,"Current",IF(L77&lt;=30,"1-30 Days",IF(L77&lt;=60,"31-60 Days",IF(L77&lt;=90,"61-90 Days","90+ Days")))))</f>
        <v>61-90 Days</v>
      </c>
      <c r="N77" t="s">
        <v>15</v>
      </c>
    </row>
    <row r="78" spans="1:14" hidden="1">
      <c r="A78" t="s">
        <v>214</v>
      </c>
      <c r="B78" t="s">
        <v>215</v>
      </c>
      <c r="C78" t="s">
        <v>28</v>
      </c>
      <c r="D78" t="s">
        <v>66</v>
      </c>
      <c r="E78">
        <v>2026</v>
      </c>
      <c r="F78" s="3">
        <v>46155</v>
      </c>
      <c r="G78" s="3">
        <v>46210</v>
      </c>
      <c r="H78" s="4">
        <v>3903</v>
      </c>
      <c r="I78" s="4">
        <v>586.64</v>
      </c>
      <c r="J78" s="4">
        <f>H78-I78</f>
        <v>3316.36</v>
      </c>
      <c r="K78" s="3">
        <v>46147</v>
      </c>
      <c r="L78">
        <f t="shared" si="1"/>
        <v>69</v>
      </c>
      <c r="M78" t="str">
        <f>IF(J78&lt;=0,"Paid",IF(L78=0,"Current",IF(L78&lt;=30,"1-30 Days",IF(L78&lt;=60,"31-60 Days",IF(L78&lt;=90,"61-90 Days","90+ Days")))))</f>
        <v>61-90 Days</v>
      </c>
      <c r="N78" t="s">
        <v>15</v>
      </c>
    </row>
    <row r="79" spans="1:14" hidden="1">
      <c r="A79" t="s">
        <v>216</v>
      </c>
      <c r="B79" t="s">
        <v>217</v>
      </c>
      <c r="C79" t="s">
        <v>26</v>
      </c>
      <c r="D79" t="s">
        <v>66</v>
      </c>
      <c r="E79">
        <v>2026</v>
      </c>
      <c r="F79" s="3">
        <v>45887</v>
      </c>
      <c r="G79" s="3">
        <v>46210</v>
      </c>
      <c r="H79" s="4">
        <v>5039</v>
      </c>
      <c r="I79" s="4">
        <v>1730.69</v>
      </c>
      <c r="J79" s="4">
        <f>H79-I79</f>
        <v>3308.31</v>
      </c>
      <c r="K79" s="3">
        <v>46147</v>
      </c>
      <c r="L79">
        <f t="shared" si="1"/>
        <v>69</v>
      </c>
      <c r="M79" t="str">
        <f>IF(J79&lt;=0,"Paid",IF(L79=0,"Current",IF(L79&lt;=30,"1-30 Days",IF(L79&lt;=60,"31-60 Days",IF(L79&lt;=90,"61-90 Days","90+ Days")))))</f>
        <v>61-90 Days</v>
      </c>
      <c r="N79" t="s">
        <v>17</v>
      </c>
    </row>
    <row r="80" spans="1:14" hidden="1">
      <c r="A80" t="s">
        <v>218</v>
      </c>
      <c r="B80" t="s">
        <v>219</v>
      </c>
      <c r="C80" t="s">
        <v>29</v>
      </c>
      <c r="D80" t="s">
        <v>66</v>
      </c>
      <c r="E80">
        <v>2026</v>
      </c>
      <c r="F80" s="3">
        <v>45891</v>
      </c>
      <c r="G80" s="3">
        <v>46210</v>
      </c>
      <c r="H80" s="4">
        <v>4314</v>
      </c>
      <c r="I80" s="4">
        <v>1036.9100000000001</v>
      </c>
      <c r="J80" s="4">
        <f>H80-I80</f>
        <v>3277.09</v>
      </c>
      <c r="K80" s="3">
        <v>46147</v>
      </c>
      <c r="L80">
        <f t="shared" si="1"/>
        <v>69</v>
      </c>
      <c r="M80" t="str">
        <f>IF(J80&lt;=0,"Paid",IF(L80=0,"Current",IF(L80&lt;=30,"1-30 Days",IF(L80&lt;=60,"31-60 Days",IF(L80&lt;=90,"61-90 Days","90+ Days")))))</f>
        <v>61-90 Days</v>
      </c>
      <c r="N80" t="s">
        <v>19</v>
      </c>
    </row>
    <row r="81" spans="1:14" hidden="1">
      <c r="A81" t="s">
        <v>220</v>
      </c>
      <c r="B81" t="s">
        <v>221</v>
      </c>
      <c r="C81" t="s">
        <v>29</v>
      </c>
      <c r="D81" t="s">
        <v>66</v>
      </c>
      <c r="E81">
        <v>2026</v>
      </c>
      <c r="F81" s="3">
        <v>45904</v>
      </c>
      <c r="G81" s="3">
        <v>46210</v>
      </c>
      <c r="H81" s="4">
        <v>3943</v>
      </c>
      <c r="I81" s="4">
        <v>680.23</v>
      </c>
      <c r="J81" s="4">
        <f>H81-I81</f>
        <v>3262.77</v>
      </c>
      <c r="K81" s="3">
        <v>46147</v>
      </c>
      <c r="L81">
        <f t="shared" si="1"/>
        <v>69</v>
      </c>
      <c r="M81" t="str">
        <f>IF(J81&lt;=0,"Paid",IF(L81=0,"Current",IF(L81&lt;=30,"1-30 Days",IF(L81&lt;=60,"31-60 Days",IF(L81&lt;=90,"61-90 Days","90+ Days")))))</f>
        <v>61-90 Days</v>
      </c>
      <c r="N81" t="s">
        <v>17</v>
      </c>
    </row>
    <row r="82" spans="1:14" hidden="1">
      <c r="A82" t="s">
        <v>222</v>
      </c>
      <c r="B82" t="s">
        <v>223</v>
      </c>
      <c r="C82" t="s">
        <v>29</v>
      </c>
      <c r="D82" t="s">
        <v>66</v>
      </c>
      <c r="E82">
        <v>2026</v>
      </c>
      <c r="F82" s="3">
        <v>46052</v>
      </c>
      <c r="G82" s="3">
        <v>46210</v>
      </c>
      <c r="H82" s="4">
        <v>3991</v>
      </c>
      <c r="I82" s="4">
        <v>735.2</v>
      </c>
      <c r="J82" s="4">
        <f>H82-I82</f>
        <v>3255.8</v>
      </c>
      <c r="K82" s="3">
        <v>46147</v>
      </c>
      <c r="L82">
        <f t="shared" si="1"/>
        <v>69</v>
      </c>
      <c r="M82" t="str">
        <f>IF(J82&lt;=0,"Paid",IF(L82=0,"Current",IF(L82&lt;=30,"1-30 Days",IF(L82&lt;=60,"31-60 Days",IF(L82&lt;=90,"61-90 Days","90+ Days")))))</f>
        <v>61-90 Days</v>
      </c>
      <c r="N82" t="s">
        <v>15</v>
      </c>
    </row>
    <row r="83" spans="1:14" hidden="1">
      <c r="A83" t="s">
        <v>224</v>
      </c>
      <c r="B83" t="s">
        <v>225</v>
      </c>
      <c r="C83" t="s">
        <v>28</v>
      </c>
      <c r="D83" t="s">
        <v>66</v>
      </c>
      <c r="E83">
        <v>2026</v>
      </c>
      <c r="F83" s="3">
        <v>45912</v>
      </c>
      <c r="G83" s="3">
        <v>46210</v>
      </c>
      <c r="H83" s="4">
        <v>4143</v>
      </c>
      <c r="I83" s="4">
        <v>898.81</v>
      </c>
      <c r="J83" s="4">
        <f>H83-I83</f>
        <v>3244.19</v>
      </c>
      <c r="K83" s="3">
        <v>46147</v>
      </c>
      <c r="L83">
        <f t="shared" si="1"/>
        <v>69</v>
      </c>
      <c r="M83" t="str">
        <f>IF(J83&lt;=0,"Paid",IF(L83=0,"Current",IF(L83&lt;=30,"1-30 Days",IF(L83&lt;=60,"31-60 Days",IF(L83&lt;=90,"61-90 Days","90+ Days")))))</f>
        <v>61-90 Days</v>
      </c>
      <c r="N83" t="s">
        <v>19</v>
      </c>
    </row>
    <row r="84" spans="1:14" hidden="1">
      <c r="A84" t="s">
        <v>226</v>
      </c>
      <c r="B84" t="s">
        <v>227</v>
      </c>
      <c r="C84" t="s">
        <v>26</v>
      </c>
      <c r="D84" t="s">
        <v>66</v>
      </c>
      <c r="E84">
        <v>2026</v>
      </c>
      <c r="F84" s="3">
        <v>45895</v>
      </c>
      <c r="G84" s="3">
        <v>46210</v>
      </c>
      <c r="H84" s="4">
        <v>4570</v>
      </c>
      <c r="I84" s="4">
        <v>1327.15</v>
      </c>
      <c r="J84" s="4">
        <f>H84-I84</f>
        <v>3242.85</v>
      </c>
      <c r="K84" s="3">
        <v>46147</v>
      </c>
      <c r="L84">
        <f t="shared" si="1"/>
        <v>69</v>
      </c>
      <c r="M84" t="str">
        <f>IF(J84&lt;=0,"Paid",IF(L84=0,"Current",IF(L84&lt;=30,"1-30 Days",IF(L84&lt;=60,"31-60 Days",IF(L84&lt;=90,"61-90 Days","90+ Days")))))</f>
        <v>61-90 Days</v>
      </c>
      <c r="N84" t="s">
        <v>15</v>
      </c>
    </row>
    <row r="85" spans="1:14" hidden="1">
      <c r="A85" t="s">
        <v>228</v>
      </c>
      <c r="B85" t="s">
        <v>229</v>
      </c>
      <c r="C85" t="s">
        <v>26</v>
      </c>
      <c r="D85" t="s">
        <v>66</v>
      </c>
      <c r="E85">
        <v>2026</v>
      </c>
      <c r="F85" s="3">
        <v>45886</v>
      </c>
      <c r="G85" s="3">
        <v>46210</v>
      </c>
      <c r="H85" s="4">
        <v>4836</v>
      </c>
      <c r="I85" s="4">
        <v>1598.32</v>
      </c>
      <c r="J85" s="4">
        <f>H85-I85</f>
        <v>3237.6800000000003</v>
      </c>
      <c r="K85" s="3">
        <v>46147</v>
      </c>
      <c r="L85">
        <f t="shared" si="1"/>
        <v>69</v>
      </c>
      <c r="M85" t="str">
        <f>IF(J85&lt;=0,"Paid",IF(L85=0,"Current",IF(L85&lt;=30,"1-30 Days",IF(L85&lt;=60,"31-60 Days",IF(L85&lt;=90,"61-90 Days","90+ Days")))))</f>
        <v>61-90 Days</v>
      </c>
      <c r="N85" t="s">
        <v>17</v>
      </c>
    </row>
    <row r="86" spans="1:14" hidden="1">
      <c r="A86" t="s">
        <v>230</v>
      </c>
      <c r="B86" t="s">
        <v>231</v>
      </c>
      <c r="C86" t="s">
        <v>25</v>
      </c>
      <c r="D86" t="s">
        <v>66</v>
      </c>
      <c r="E86">
        <v>2026</v>
      </c>
      <c r="F86" s="3">
        <v>46036</v>
      </c>
      <c r="G86" s="3">
        <v>46210</v>
      </c>
      <c r="H86" s="4">
        <v>4136</v>
      </c>
      <c r="I86" s="4">
        <v>903.68</v>
      </c>
      <c r="J86" s="4">
        <f>H86-I86</f>
        <v>3232.32</v>
      </c>
      <c r="K86" s="3">
        <v>46147</v>
      </c>
      <c r="L86">
        <f t="shared" si="1"/>
        <v>69</v>
      </c>
      <c r="M86" t="str">
        <f>IF(J86&lt;=0,"Paid",IF(L86=0,"Current",IF(L86&lt;=30,"1-30 Days",IF(L86&lt;=60,"31-60 Days",IF(L86&lt;=90,"61-90 Days","90+ Days")))))</f>
        <v>61-90 Days</v>
      </c>
      <c r="N86" t="s">
        <v>19</v>
      </c>
    </row>
    <row r="87" spans="1:14" hidden="1">
      <c r="A87" t="s">
        <v>232</v>
      </c>
      <c r="B87" t="s">
        <v>89</v>
      </c>
      <c r="C87" t="s">
        <v>28</v>
      </c>
      <c r="D87" t="s">
        <v>66</v>
      </c>
      <c r="E87">
        <v>2026</v>
      </c>
      <c r="F87" s="3">
        <v>45903</v>
      </c>
      <c r="G87" s="3">
        <v>46210</v>
      </c>
      <c r="H87" s="4">
        <v>4169</v>
      </c>
      <c r="I87" s="4">
        <v>938.46</v>
      </c>
      <c r="J87" s="4">
        <f>H87-I87</f>
        <v>3230.54</v>
      </c>
      <c r="K87" s="3">
        <v>46147</v>
      </c>
      <c r="L87">
        <f t="shared" si="1"/>
        <v>69</v>
      </c>
      <c r="M87" t="str">
        <f>IF(J87&lt;=0,"Paid",IF(L87=0,"Current",IF(L87&lt;=30,"1-30 Days",IF(L87&lt;=60,"31-60 Days",IF(L87&lt;=90,"61-90 Days","90+ Days")))))</f>
        <v>61-90 Days</v>
      </c>
      <c r="N87" t="s">
        <v>19</v>
      </c>
    </row>
    <row r="88" spans="1:14" hidden="1">
      <c r="A88" t="s">
        <v>233</v>
      </c>
      <c r="B88" t="s">
        <v>234</v>
      </c>
      <c r="C88" t="s">
        <v>27</v>
      </c>
      <c r="D88" t="s">
        <v>66</v>
      </c>
      <c r="E88">
        <v>2026</v>
      </c>
      <c r="F88" s="3">
        <v>46055</v>
      </c>
      <c r="G88" s="3">
        <v>46210</v>
      </c>
      <c r="H88" s="4">
        <v>4193</v>
      </c>
      <c r="I88" s="4">
        <v>973.86</v>
      </c>
      <c r="J88" s="4">
        <f>H88-I88</f>
        <v>3219.14</v>
      </c>
      <c r="K88" s="3">
        <v>46147</v>
      </c>
      <c r="L88">
        <f t="shared" si="1"/>
        <v>69</v>
      </c>
      <c r="M88" t="str">
        <f>IF(J88&lt;=0,"Paid",IF(L88=0,"Current",IF(L88&lt;=30,"1-30 Days",IF(L88&lt;=60,"31-60 Days",IF(L88&lt;=90,"61-90 Days","90+ Days")))))</f>
        <v>61-90 Days</v>
      </c>
      <c r="N88" t="s">
        <v>17</v>
      </c>
    </row>
    <row r="89" spans="1:14" hidden="1">
      <c r="A89" t="s">
        <v>235</v>
      </c>
      <c r="B89" t="s">
        <v>236</v>
      </c>
      <c r="C89" t="s">
        <v>29</v>
      </c>
      <c r="D89" t="s">
        <v>66</v>
      </c>
      <c r="E89">
        <v>2026</v>
      </c>
      <c r="F89" s="3">
        <v>46048</v>
      </c>
      <c r="G89" s="3">
        <v>46210</v>
      </c>
      <c r="H89" s="4">
        <v>4283</v>
      </c>
      <c r="I89" s="4">
        <v>1077.93</v>
      </c>
      <c r="J89" s="4">
        <f>H89-I89</f>
        <v>3205.0699999999997</v>
      </c>
      <c r="K89" s="3">
        <v>46147</v>
      </c>
      <c r="L89">
        <f t="shared" si="1"/>
        <v>69</v>
      </c>
      <c r="M89" t="str">
        <f>IF(J89&lt;=0,"Paid",IF(L89=0,"Current",IF(L89&lt;=30,"1-30 Days",IF(L89&lt;=60,"31-60 Days",IF(L89&lt;=90,"61-90 Days","90+ Days")))))</f>
        <v>61-90 Days</v>
      </c>
      <c r="N89" t="s">
        <v>17</v>
      </c>
    </row>
    <row r="90" spans="1:14" hidden="1">
      <c r="A90" t="s">
        <v>237</v>
      </c>
      <c r="B90" t="s">
        <v>238</v>
      </c>
      <c r="C90" t="s">
        <v>28</v>
      </c>
      <c r="D90" t="s">
        <v>66</v>
      </c>
      <c r="E90">
        <v>2026</v>
      </c>
      <c r="F90" s="3">
        <v>46042</v>
      </c>
      <c r="G90" s="3">
        <v>46210</v>
      </c>
      <c r="H90" s="4">
        <v>4265</v>
      </c>
      <c r="I90" s="4">
        <v>1093.18</v>
      </c>
      <c r="J90" s="4">
        <f>H90-I90</f>
        <v>3171.8199999999997</v>
      </c>
      <c r="K90" s="3">
        <v>46147</v>
      </c>
      <c r="L90">
        <f t="shared" si="1"/>
        <v>69</v>
      </c>
      <c r="M90" t="str">
        <f>IF(J90&lt;=0,"Paid",IF(L90=0,"Current",IF(L90&lt;=30,"1-30 Days",IF(L90&lt;=60,"31-60 Days",IF(L90&lt;=90,"61-90 Days","90+ Days")))))</f>
        <v>61-90 Days</v>
      </c>
      <c r="N90" t="s">
        <v>17</v>
      </c>
    </row>
    <row r="91" spans="1:14" hidden="1">
      <c r="A91" t="s">
        <v>239</v>
      </c>
      <c r="B91" t="s">
        <v>240</v>
      </c>
      <c r="C91" t="s">
        <v>28</v>
      </c>
      <c r="D91" t="s">
        <v>66</v>
      </c>
      <c r="E91">
        <v>2026</v>
      </c>
      <c r="F91" s="3">
        <v>46155</v>
      </c>
      <c r="G91" s="3">
        <v>46210</v>
      </c>
      <c r="H91" s="4">
        <v>4012</v>
      </c>
      <c r="I91" s="4">
        <v>844.45</v>
      </c>
      <c r="J91" s="4">
        <f>H91-I91</f>
        <v>3167.55</v>
      </c>
      <c r="K91" s="3">
        <v>46147</v>
      </c>
      <c r="L91">
        <f t="shared" si="1"/>
        <v>69</v>
      </c>
      <c r="M91" t="str">
        <f>IF(J91&lt;=0,"Paid",IF(L91=0,"Current",IF(L91&lt;=30,"1-30 Days",IF(L91&lt;=60,"31-60 Days",IF(L91&lt;=90,"61-90 Days","90+ Days")))))</f>
        <v>61-90 Days</v>
      </c>
      <c r="N91" t="s">
        <v>15</v>
      </c>
    </row>
    <row r="92" spans="1:14" hidden="1">
      <c r="A92" t="s">
        <v>241</v>
      </c>
      <c r="B92" t="s">
        <v>242</v>
      </c>
      <c r="C92" t="s">
        <v>28</v>
      </c>
      <c r="D92" t="s">
        <v>66</v>
      </c>
      <c r="E92">
        <v>2026</v>
      </c>
      <c r="F92" s="3">
        <v>46169</v>
      </c>
      <c r="G92" s="3">
        <v>46210</v>
      </c>
      <c r="H92" s="4">
        <v>3927</v>
      </c>
      <c r="I92" s="4">
        <v>762.4</v>
      </c>
      <c r="J92" s="4">
        <f>H92-I92</f>
        <v>3164.6</v>
      </c>
      <c r="K92" s="3">
        <v>46147</v>
      </c>
      <c r="L92">
        <f t="shared" si="1"/>
        <v>69</v>
      </c>
      <c r="M92" t="str">
        <f>IF(J92&lt;=0,"Paid",IF(L92=0,"Current",IF(L92&lt;=30,"1-30 Days",IF(L92&lt;=60,"31-60 Days",IF(L92&lt;=90,"61-90 Days","90+ Days")))))</f>
        <v>61-90 Days</v>
      </c>
      <c r="N92" t="s">
        <v>17</v>
      </c>
    </row>
    <row r="93" spans="1:14" hidden="1">
      <c r="A93" t="s">
        <v>243</v>
      </c>
      <c r="B93" t="s">
        <v>244</v>
      </c>
      <c r="C93" t="s">
        <v>28</v>
      </c>
      <c r="D93" t="s">
        <v>66</v>
      </c>
      <c r="E93">
        <v>2026</v>
      </c>
      <c r="F93" s="3">
        <v>46030</v>
      </c>
      <c r="G93" s="3">
        <v>46210</v>
      </c>
      <c r="H93" s="4">
        <v>4086</v>
      </c>
      <c r="I93" s="4">
        <v>950.68</v>
      </c>
      <c r="J93" s="4">
        <f>H93-I93</f>
        <v>3135.32</v>
      </c>
      <c r="K93" s="3">
        <v>46147</v>
      </c>
      <c r="L93">
        <f t="shared" si="1"/>
        <v>69</v>
      </c>
      <c r="M93" t="str">
        <f>IF(J93&lt;=0,"Paid",IF(L93=0,"Current",IF(L93&lt;=30,"1-30 Days",IF(L93&lt;=60,"31-60 Days",IF(L93&lt;=90,"61-90 Days","90+ Days")))))</f>
        <v>61-90 Days</v>
      </c>
      <c r="N93" t="s">
        <v>15</v>
      </c>
    </row>
    <row r="94" spans="1:14" hidden="1">
      <c r="A94" t="s">
        <v>245</v>
      </c>
      <c r="B94" t="s">
        <v>246</v>
      </c>
      <c r="C94" t="s">
        <v>26</v>
      </c>
      <c r="D94" t="s">
        <v>66</v>
      </c>
      <c r="E94">
        <v>2026</v>
      </c>
      <c r="F94" s="3">
        <v>46038</v>
      </c>
      <c r="G94" s="3">
        <v>46210</v>
      </c>
      <c r="H94" s="4">
        <v>4679</v>
      </c>
      <c r="I94" s="4">
        <v>1558.14</v>
      </c>
      <c r="J94" s="4">
        <f>H94-I94</f>
        <v>3120.8599999999997</v>
      </c>
      <c r="K94" s="3">
        <v>46147</v>
      </c>
      <c r="L94">
        <f t="shared" si="1"/>
        <v>69</v>
      </c>
      <c r="M94" t="str">
        <f>IF(J94&lt;=0,"Paid",IF(L94=0,"Current",IF(L94&lt;=30,"1-30 Days",IF(L94&lt;=60,"31-60 Days",IF(L94&lt;=90,"61-90 Days","90+ Days")))))</f>
        <v>61-90 Days</v>
      </c>
      <c r="N94" t="s">
        <v>15</v>
      </c>
    </row>
    <row r="95" spans="1:14" hidden="1">
      <c r="A95" t="s">
        <v>247</v>
      </c>
      <c r="B95" t="s">
        <v>248</v>
      </c>
      <c r="C95" t="s">
        <v>27</v>
      </c>
      <c r="D95" t="s">
        <v>66</v>
      </c>
      <c r="E95">
        <v>2026</v>
      </c>
      <c r="F95" s="3">
        <v>45882</v>
      </c>
      <c r="G95" s="3">
        <v>46210</v>
      </c>
      <c r="H95" s="4">
        <v>4702</v>
      </c>
      <c r="I95" s="4">
        <v>1587.2</v>
      </c>
      <c r="J95" s="4">
        <f>H95-I95</f>
        <v>3114.8</v>
      </c>
      <c r="K95" s="3">
        <v>46147</v>
      </c>
      <c r="L95">
        <f t="shared" si="1"/>
        <v>69</v>
      </c>
      <c r="M95" t="str">
        <f>IF(J95&lt;=0,"Paid",IF(L95=0,"Current",IF(L95&lt;=30,"1-30 Days",IF(L95&lt;=60,"31-60 Days",IF(L95&lt;=90,"61-90 Days","90+ Days")))))</f>
        <v>61-90 Days</v>
      </c>
      <c r="N95" t="s">
        <v>15</v>
      </c>
    </row>
    <row r="96" spans="1:14" hidden="1">
      <c r="A96" t="s">
        <v>249</v>
      </c>
      <c r="B96" t="s">
        <v>250</v>
      </c>
      <c r="C96" t="s">
        <v>27</v>
      </c>
      <c r="D96" t="s">
        <v>66</v>
      </c>
      <c r="E96">
        <v>2026</v>
      </c>
      <c r="F96" s="3">
        <v>46046</v>
      </c>
      <c r="G96" s="3">
        <v>46210</v>
      </c>
      <c r="H96" s="4">
        <v>4381</v>
      </c>
      <c r="I96" s="4">
        <v>1275.67</v>
      </c>
      <c r="J96" s="4">
        <f>H96-I96</f>
        <v>3105.33</v>
      </c>
      <c r="K96" s="3">
        <v>46147</v>
      </c>
      <c r="L96">
        <f t="shared" si="1"/>
        <v>69</v>
      </c>
      <c r="M96" t="str">
        <f>IF(J96&lt;=0,"Paid",IF(L96=0,"Current",IF(L96&lt;=30,"1-30 Days",IF(L96&lt;=60,"31-60 Days",IF(L96&lt;=90,"61-90 Days","90+ Days")))))</f>
        <v>61-90 Days</v>
      </c>
      <c r="N96" t="s">
        <v>17</v>
      </c>
    </row>
    <row r="97" spans="1:14" hidden="1">
      <c r="A97" t="s">
        <v>251</v>
      </c>
      <c r="B97" t="s">
        <v>252</v>
      </c>
      <c r="C97" t="s">
        <v>29</v>
      </c>
      <c r="D97" t="s">
        <v>66</v>
      </c>
      <c r="E97">
        <v>2026</v>
      </c>
      <c r="F97" s="3">
        <v>46155</v>
      </c>
      <c r="G97" s="3">
        <v>46210</v>
      </c>
      <c r="H97" s="4">
        <v>3850</v>
      </c>
      <c r="I97" s="4">
        <v>753.12</v>
      </c>
      <c r="J97" s="4">
        <f>H97-I97</f>
        <v>3096.88</v>
      </c>
      <c r="K97" s="3">
        <v>46147</v>
      </c>
      <c r="L97">
        <f t="shared" si="1"/>
        <v>69</v>
      </c>
      <c r="M97" t="str">
        <f>IF(J97&lt;=0,"Paid",IF(L97=0,"Current",IF(L97&lt;=30,"1-30 Days",IF(L97&lt;=60,"31-60 Days",IF(L97&lt;=90,"61-90 Days","90+ Days")))))</f>
        <v>61-90 Days</v>
      </c>
      <c r="N97" t="s">
        <v>15</v>
      </c>
    </row>
    <row r="98" spans="1:14" hidden="1">
      <c r="A98" t="s">
        <v>253</v>
      </c>
      <c r="B98" t="s">
        <v>254</v>
      </c>
      <c r="C98" t="s">
        <v>29</v>
      </c>
      <c r="D98" t="s">
        <v>66</v>
      </c>
      <c r="E98">
        <v>2026</v>
      </c>
      <c r="F98" s="3">
        <v>45893</v>
      </c>
      <c r="G98" s="3">
        <v>46210</v>
      </c>
      <c r="H98" s="4">
        <v>3807</v>
      </c>
      <c r="I98" s="4">
        <v>724.47</v>
      </c>
      <c r="J98" s="4">
        <f>H98-I98</f>
        <v>3082.5299999999997</v>
      </c>
      <c r="K98" s="3">
        <v>46147</v>
      </c>
      <c r="L98">
        <f t="shared" si="1"/>
        <v>69</v>
      </c>
      <c r="M98" t="str">
        <f>IF(J98&lt;=0,"Paid",IF(L98=0,"Current",IF(L98&lt;=30,"1-30 Days",IF(L98&lt;=60,"31-60 Days",IF(L98&lt;=90,"61-90 Days","90+ Days")))))</f>
        <v>61-90 Days</v>
      </c>
      <c r="N98" t="s">
        <v>17</v>
      </c>
    </row>
    <row r="99" spans="1:14" hidden="1">
      <c r="A99" t="s">
        <v>255</v>
      </c>
      <c r="B99" t="s">
        <v>256</v>
      </c>
      <c r="C99" t="s">
        <v>29</v>
      </c>
      <c r="D99" t="s">
        <v>66</v>
      </c>
      <c r="E99">
        <v>2026</v>
      </c>
      <c r="F99" s="3">
        <v>45915</v>
      </c>
      <c r="G99" s="3">
        <v>46210</v>
      </c>
      <c r="H99" s="4">
        <v>4112</v>
      </c>
      <c r="I99" s="4">
        <v>1037.03</v>
      </c>
      <c r="J99" s="4">
        <f>H99-I99</f>
        <v>3074.9700000000003</v>
      </c>
      <c r="K99" s="3">
        <v>46147</v>
      </c>
      <c r="L99">
        <f t="shared" si="1"/>
        <v>69</v>
      </c>
      <c r="M99" t="str">
        <f>IF(J99&lt;=0,"Paid",IF(L99=0,"Current",IF(L99&lt;=30,"1-30 Days",IF(L99&lt;=60,"31-60 Days",IF(L99&lt;=90,"61-90 Days","90+ Days")))))</f>
        <v>61-90 Days</v>
      </c>
      <c r="N99" t="s">
        <v>15</v>
      </c>
    </row>
    <row r="100" spans="1:14" hidden="1">
      <c r="A100" t="s">
        <v>257</v>
      </c>
      <c r="B100" t="s">
        <v>258</v>
      </c>
      <c r="C100" t="s">
        <v>29</v>
      </c>
      <c r="D100" t="s">
        <v>66</v>
      </c>
      <c r="E100">
        <v>2026</v>
      </c>
      <c r="F100" s="3">
        <v>46026</v>
      </c>
      <c r="G100" s="3">
        <v>46210</v>
      </c>
      <c r="H100" s="4">
        <v>4199</v>
      </c>
      <c r="I100" s="4">
        <v>1124.0999999999999</v>
      </c>
      <c r="J100" s="4">
        <f>H100-I100</f>
        <v>3074.9</v>
      </c>
      <c r="K100" s="3">
        <v>46147</v>
      </c>
      <c r="L100">
        <f t="shared" si="1"/>
        <v>69</v>
      </c>
      <c r="M100" t="str">
        <f>IF(J100&lt;=0,"Paid",IF(L100=0,"Current",IF(L100&lt;=30,"1-30 Days",IF(L100&lt;=60,"31-60 Days",IF(L100&lt;=90,"61-90 Days","90+ Days")))))</f>
        <v>61-90 Days</v>
      </c>
      <c r="N100" t="s">
        <v>19</v>
      </c>
    </row>
    <row r="101" spans="1:14" hidden="1">
      <c r="A101" t="s">
        <v>259</v>
      </c>
      <c r="B101" t="s">
        <v>168</v>
      </c>
      <c r="C101" t="s">
        <v>28</v>
      </c>
      <c r="D101" t="s">
        <v>66</v>
      </c>
      <c r="E101">
        <v>2026</v>
      </c>
      <c r="F101" s="3">
        <v>46165</v>
      </c>
      <c r="G101" s="3">
        <v>46210</v>
      </c>
      <c r="H101" s="4">
        <v>4200</v>
      </c>
      <c r="I101" s="4">
        <v>1142.18</v>
      </c>
      <c r="J101" s="4">
        <f>H101-I101</f>
        <v>3057.8199999999997</v>
      </c>
      <c r="K101" s="3">
        <v>46147</v>
      </c>
      <c r="L101">
        <f t="shared" si="1"/>
        <v>69</v>
      </c>
      <c r="M101" t="str">
        <f>IF(J101&lt;=0,"Paid",IF(L101=0,"Current",IF(L101&lt;=30,"1-30 Days",IF(L101&lt;=60,"31-60 Days",IF(L101&lt;=90,"61-90 Days","90+ Days")))))</f>
        <v>61-90 Days</v>
      </c>
      <c r="N101" t="s">
        <v>15</v>
      </c>
    </row>
    <row r="102" spans="1:14" hidden="1">
      <c r="A102" t="s">
        <v>260</v>
      </c>
      <c r="B102" t="s">
        <v>261</v>
      </c>
      <c r="C102" t="s">
        <v>25</v>
      </c>
      <c r="D102" t="s">
        <v>66</v>
      </c>
      <c r="E102">
        <v>2026</v>
      </c>
      <c r="F102" s="3">
        <v>46050</v>
      </c>
      <c r="G102" s="3">
        <v>46210</v>
      </c>
      <c r="H102" s="4">
        <v>4090</v>
      </c>
      <c r="I102" s="4">
        <v>1051.0999999999999</v>
      </c>
      <c r="J102" s="4">
        <f>H102-I102</f>
        <v>3038.9</v>
      </c>
      <c r="K102" s="3">
        <v>46147</v>
      </c>
      <c r="L102">
        <f t="shared" si="1"/>
        <v>69</v>
      </c>
      <c r="M102" t="str">
        <f>IF(J102&lt;=0,"Paid",IF(L102=0,"Current",IF(L102&lt;=30,"1-30 Days",IF(L102&lt;=60,"31-60 Days",IF(L102&lt;=90,"61-90 Days","90+ Days")))))</f>
        <v>61-90 Days</v>
      </c>
      <c r="N102" t="s">
        <v>15</v>
      </c>
    </row>
    <row r="103" spans="1:14" hidden="1">
      <c r="A103" t="s">
        <v>262</v>
      </c>
      <c r="B103" t="s">
        <v>263</v>
      </c>
      <c r="C103" t="s">
        <v>28</v>
      </c>
      <c r="D103" t="s">
        <v>66</v>
      </c>
      <c r="E103">
        <v>2026</v>
      </c>
      <c r="F103" s="3">
        <v>46026</v>
      </c>
      <c r="G103" s="3">
        <v>46210</v>
      </c>
      <c r="H103" s="4">
        <v>4271</v>
      </c>
      <c r="I103" s="4">
        <v>1291.49</v>
      </c>
      <c r="J103" s="4">
        <f>H103-I103</f>
        <v>2979.51</v>
      </c>
      <c r="K103" s="3">
        <v>46147</v>
      </c>
      <c r="L103">
        <f t="shared" si="1"/>
        <v>69</v>
      </c>
      <c r="M103" t="str">
        <f>IF(J103&lt;=0,"Paid",IF(L103=0,"Current",IF(L103&lt;=30,"1-30 Days",IF(L103&lt;=60,"31-60 Days",IF(L103&lt;=90,"61-90 Days","90+ Days")))))</f>
        <v>61-90 Days</v>
      </c>
      <c r="N103" t="s">
        <v>17</v>
      </c>
    </row>
    <row r="104" spans="1:14" hidden="1">
      <c r="A104" t="s">
        <v>264</v>
      </c>
      <c r="B104" t="s">
        <v>265</v>
      </c>
      <c r="C104" t="s">
        <v>29</v>
      </c>
      <c r="D104" t="s">
        <v>66</v>
      </c>
      <c r="E104">
        <v>2026</v>
      </c>
      <c r="F104" s="3">
        <v>46151</v>
      </c>
      <c r="G104" s="3">
        <v>46210</v>
      </c>
      <c r="H104" s="4">
        <v>4410</v>
      </c>
      <c r="I104" s="4">
        <v>1467.21</v>
      </c>
      <c r="J104" s="4">
        <f>H104-I104</f>
        <v>2942.79</v>
      </c>
      <c r="K104" s="3">
        <v>46147</v>
      </c>
      <c r="L104">
        <f t="shared" si="1"/>
        <v>69</v>
      </c>
      <c r="M104" t="str">
        <f>IF(J104&lt;=0,"Paid",IF(L104=0,"Current",IF(L104&lt;=30,"1-30 Days",IF(L104&lt;=60,"31-60 Days",IF(L104&lt;=90,"61-90 Days","90+ Days")))))</f>
        <v>61-90 Days</v>
      </c>
      <c r="N104" t="s">
        <v>15</v>
      </c>
    </row>
    <row r="105" spans="1:14" hidden="1">
      <c r="A105" t="s">
        <v>266</v>
      </c>
      <c r="B105" t="s">
        <v>267</v>
      </c>
      <c r="C105" t="s">
        <v>28</v>
      </c>
      <c r="D105" t="s">
        <v>66</v>
      </c>
      <c r="E105">
        <v>2026</v>
      </c>
      <c r="F105" s="3">
        <v>46159</v>
      </c>
      <c r="G105" s="3">
        <v>46210</v>
      </c>
      <c r="H105" s="4">
        <v>4138</v>
      </c>
      <c r="I105" s="4">
        <v>1210.02</v>
      </c>
      <c r="J105" s="4">
        <f>H105-I105</f>
        <v>2927.98</v>
      </c>
      <c r="K105" s="3">
        <v>46147</v>
      </c>
      <c r="L105">
        <f t="shared" si="1"/>
        <v>69</v>
      </c>
      <c r="M105" t="str">
        <f>IF(J105&lt;=0,"Paid",IF(L105=0,"Current",IF(L105&lt;=30,"1-30 Days",IF(L105&lt;=60,"31-60 Days",IF(L105&lt;=90,"61-90 Days","90+ Days")))))</f>
        <v>61-90 Days</v>
      </c>
      <c r="N105" t="s">
        <v>17</v>
      </c>
    </row>
    <row r="106" spans="1:14" hidden="1">
      <c r="A106" t="s">
        <v>268</v>
      </c>
      <c r="B106" t="s">
        <v>269</v>
      </c>
      <c r="C106" t="s">
        <v>25</v>
      </c>
      <c r="D106" t="s">
        <v>66</v>
      </c>
      <c r="E106">
        <v>2026</v>
      </c>
      <c r="F106" s="3">
        <v>46030</v>
      </c>
      <c r="G106" s="3">
        <v>46210</v>
      </c>
      <c r="H106" s="4">
        <v>4299</v>
      </c>
      <c r="I106" s="4">
        <v>1404.31</v>
      </c>
      <c r="J106" s="4">
        <f>H106-I106</f>
        <v>2894.69</v>
      </c>
      <c r="K106" s="3">
        <v>46147</v>
      </c>
      <c r="L106">
        <f t="shared" si="1"/>
        <v>69</v>
      </c>
      <c r="M106" t="str">
        <f>IF(J106&lt;=0,"Paid",IF(L106=0,"Current",IF(L106&lt;=30,"1-30 Days",IF(L106&lt;=60,"31-60 Days",IF(L106&lt;=90,"61-90 Days","90+ Days")))))</f>
        <v>61-90 Days</v>
      </c>
      <c r="N106" t="s">
        <v>15</v>
      </c>
    </row>
    <row r="107" spans="1:14" hidden="1">
      <c r="A107" t="s">
        <v>270</v>
      </c>
      <c r="B107" t="s">
        <v>271</v>
      </c>
      <c r="C107" t="s">
        <v>28</v>
      </c>
      <c r="D107" t="s">
        <v>66</v>
      </c>
      <c r="E107">
        <v>2026</v>
      </c>
      <c r="F107" s="3">
        <v>45903</v>
      </c>
      <c r="G107" s="3">
        <v>46210</v>
      </c>
      <c r="H107" s="4">
        <v>3853</v>
      </c>
      <c r="I107" s="4">
        <v>967.48</v>
      </c>
      <c r="J107" s="4">
        <f>H107-I107</f>
        <v>2885.52</v>
      </c>
      <c r="K107" s="3">
        <v>46147</v>
      </c>
      <c r="L107">
        <f t="shared" si="1"/>
        <v>69</v>
      </c>
      <c r="M107" t="str">
        <f>IF(J107&lt;=0,"Paid",IF(L107=0,"Current",IF(L107&lt;=30,"1-30 Days",IF(L107&lt;=60,"31-60 Days",IF(L107&lt;=90,"61-90 Days","90+ Days")))))</f>
        <v>61-90 Days</v>
      </c>
      <c r="N107" t="s">
        <v>15</v>
      </c>
    </row>
    <row r="108" spans="1:14" hidden="1">
      <c r="A108" t="s">
        <v>272</v>
      </c>
      <c r="B108" t="s">
        <v>273</v>
      </c>
      <c r="C108" t="s">
        <v>25</v>
      </c>
      <c r="D108" t="s">
        <v>66</v>
      </c>
      <c r="E108">
        <v>2026</v>
      </c>
      <c r="F108" s="3">
        <v>45891</v>
      </c>
      <c r="G108" s="3">
        <v>46210</v>
      </c>
      <c r="H108" s="4">
        <v>4001</v>
      </c>
      <c r="I108" s="4">
        <v>1118.69</v>
      </c>
      <c r="J108" s="4">
        <f>H108-I108</f>
        <v>2882.31</v>
      </c>
      <c r="K108" s="3">
        <v>46147</v>
      </c>
      <c r="L108">
        <f t="shared" si="1"/>
        <v>69</v>
      </c>
      <c r="M108" t="str">
        <f>IF(J108&lt;=0,"Paid",IF(L108=0,"Current",IF(L108&lt;=30,"1-30 Days",IF(L108&lt;=60,"31-60 Days",IF(L108&lt;=90,"61-90 Days","90+ Days")))))</f>
        <v>61-90 Days</v>
      </c>
      <c r="N108" t="s">
        <v>15</v>
      </c>
    </row>
    <row r="109" spans="1:14" hidden="1">
      <c r="A109" t="s">
        <v>274</v>
      </c>
      <c r="B109" t="s">
        <v>238</v>
      </c>
      <c r="C109" t="s">
        <v>27</v>
      </c>
      <c r="D109" t="s">
        <v>66</v>
      </c>
      <c r="E109">
        <v>2026</v>
      </c>
      <c r="F109" s="3">
        <v>46175</v>
      </c>
      <c r="G109" s="3">
        <v>46210</v>
      </c>
      <c r="H109" s="4">
        <v>4410</v>
      </c>
      <c r="I109" s="4">
        <v>1528.42</v>
      </c>
      <c r="J109" s="4">
        <f>H109-I109</f>
        <v>2881.58</v>
      </c>
      <c r="K109" s="3">
        <v>46147</v>
      </c>
      <c r="L109">
        <f t="shared" si="1"/>
        <v>69</v>
      </c>
      <c r="M109" t="str">
        <f>IF(J109&lt;=0,"Paid",IF(L109=0,"Current",IF(L109&lt;=30,"1-30 Days",IF(L109&lt;=60,"31-60 Days",IF(L109&lt;=90,"61-90 Days","90+ Days")))))</f>
        <v>61-90 Days</v>
      </c>
      <c r="N109" t="s">
        <v>17</v>
      </c>
    </row>
    <row r="110" spans="1:14" hidden="1">
      <c r="A110" t="s">
        <v>275</v>
      </c>
      <c r="B110" t="s">
        <v>276</v>
      </c>
      <c r="C110" t="s">
        <v>28</v>
      </c>
      <c r="D110" t="s">
        <v>66</v>
      </c>
      <c r="E110">
        <v>2026</v>
      </c>
      <c r="F110" s="3">
        <v>45886</v>
      </c>
      <c r="G110" s="3">
        <v>46210</v>
      </c>
      <c r="H110" s="4">
        <v>4109</v>
      </c>
      <c r="I110" s="4">
        <v>1254.83</v>
      </c>
      <c r="J110" s="4">
        <f>H110-I110</f>
        <v>2854.17</v>
      </c>
      <c r="K110" s="3">
        <v>46147</v>
      </c>
      <c r="L110">
        <f t="shared" si="1"/>
        <v>69</v>
      </c>
      <c r="M110" t="str">
        <f>IF(J110&lt;=0,"Paid",IF(L110=0,"Current",IF(L110&lt;=30,"1-30 Days",IF(L110&lt;=60,"31-60 Days",IF(L110&lt;=90,"61-90 Days","90+ Days")))))</f>
        <v>61-90 Days</v>
      </c>
      <c r="N110" t="s">
        <v>17</v>
      </c>
    </row>
    <row r="111" spans="1:14" hidden="1">
      <c r="A111" t="s">
        <v>277</v>
      </c>
      <c r="B111" t="s">
        <v>278</v>
      </c>
      <c r="C111" t="s">
        <v>28</v>
      </c>
      <c r="D111" t="s">
        <v>66</v>
      </c>
      <c r="E111">
        <v>2026</v>
      </c>
      <c r="F111" s="3">
        <v>46168</v>
      </c>
      <c r="G111" s="3">
        <v>46210</v>
      </c>
      <c r="H111" s="4">
        <v>4038</v>
      </c>
      <c r="I111" s="4">
        <v>1187.54</v>
      </c>
      <c r="J111" s="4">
        <f>H111-I111</f>
        <v>2850.46</v>
      </c>
      <c r="K111" s="3">
        <v>46147</v>
      </c>
      <c r="L111">
        <f t="shared" si="1"/>
        <v>69</v>
      </c>
      <c r="M111" t="str">
        <f>IF(J111&lt;=0,"Paid",IF(L111=0,"Current",IF(L111&lt;=30,"1-30 Days",IF(L111&lt;=60,"31-60 Days",IF(L111&lt;=90,"61-90 Days","90+ Days")))))</f>
        <v>61-90 Days</v>
      </c>
      <c r="N111" t="s">
        <v>17</v>
      </c>
    </row>
    <row r="112" spans="1:14" hidden="1">
      <c r="A112" t="s">
        <v>279</v>
      </c>
      <c r="B112" t="s">
        <v>280</v>
      </c>
      <c r="C112" t="s">
        <v>28</v>
      </c>
      <c r="D112" t="s">
        <v>66</v>
      </c>
      <c r="E112">
        <v>2026</v>
      </c>
      <c r="F112" s="3">
        <v>45913</v>
      </c>
      <c r="G112" s="3">
        <v>46210</v>
      </c>
      <c r="H112" s="4">
        <v>4000</v>
      </c>
      <c r="I112" s="4">
        <v>1172.8</v>
      </c>
      <c r="J112" s="4">
        <f>H112-I112</f>
        <v>2827.2</v>
      </c>
      <c r="K112" s="3">
        <v>46147</v>
      </c>
      <c r="L112">
        <f t="shared" si="1"/>
        <v>69</v>
      </c>
      <c r="M112" t="str">
        <f>IF(J112&lt;=0,"Paid",IF(L112=0,"Current",IF(L112&lt;=30,"1-30 Days",IF(L112&lt;=60,"31-60 Days",IF(L112&lt;=90,"61-90 Days","90+ Days")))))</f>
        <v>61-90 Days</v>
      </c>
      <c r="N112" t="s">
        <v>15</v>
      </c>
    </row>
    <row r="113" spans="1:14" hidden="1">
      <c r="A113" t="s">
        <v>281</v>
      </c>
      <c r="B113" t="s">
        <v>282</v>
      </c>
      <c r="C113" t="s">
        <v>27</v>
      </c>
      <c r="D113" t="s">
        <v>66</v>
      </c>
      <c r="E113">
        <v>2026</v>
      </c>
      <c r="F113" s="3">
        <v>46179</v>
      </c>
      <c r="G113" s="3">
        <v>46210</v>
      </c>
      <c r="H113" s="4">
        <v>4340</v>
      </c>
      <c r="I113" s="4">
        <v>1517.87</v>
      </c>
      <c r="J113" s="4">
        <f>H113-I113</f>
        <v>2822.13</v>
      </c>
      <c r="K113" s="3">
        <v>46147</v>
      </c>
      <c r="L113">
        <f t="shared" si="1"/>
        <v>69</v>
      </c>
      <c r="M113" t="str">
        <f>IF(J113&lt;=0,"Paid",IF(L113=0,"Current",IF(L113&lt;=30,"1-30 Days",IF(L113&lt;=60,"31-60 Days",IF(L113&lt;=90,"61-90 Days","90+ Days")))))</f>
        <v>61-90 Days</v>
      </c>
      <c r="N113" t="s">
        <v>17</v>
      </c>
    </row>
    <row r="114" spans="1:14" hidden="1">
      <c r="A114" t="s">
        <v>283</v>
      </c>
      <c r="B114" t="s">
        <v>284</v>
      </c>
      <c r="C114" t="s">
        <v>29</v>
      </c>
      <c r="D114" t="s">
        <v>66</v>
      </c>
      <c r="E114">
        <v>2026</v>
      </c>
      <c r="F114" s="3">
        <v>46021</v>
      </c>
      <c r="G114" s="3">
        <v>46210</v>
      </c>
      <c r="H114" s="4">
        <v>4051</v>
      </c>
      <c r="I114" s="4">
        <v>1264.21</v>
      </c>
      <c r="J114" s="4">
        <f>H114-I114</f>
        <v>2786.79</v>
      </c>
      <c r="K114" s="3">
        <v>46147</v>
      </c>
      <c r="L114">
        <f t="shared" si="1"/>
        <v>69</v>
      </c>
      <c r="M114" t="str">
        <f>IF(J114&lt;=0,"Paid",IF(L114=0,"Current",IF(L114&lt;=30,"1-30 Days",IF(L114&lt;=60,"31-60 Days",IF(L114&lt;=90,"61-90 Days","90+ Days")))))</f>
        <v>61-90 Days</v>
      </c>
      <c r="N114" t="s">
        <v>17</v>
      </c>
    </row>
    <row r="115" spans="1:14" hidden="1">
      <c r="A115" t="s">
        <v>285</v>
      </c>
      <c r="B115" t="s">
        <v>286</v>
      </c>
      <c r="C115" t="s">
        <v>26</v>
      </c>
      <c r="D115" t="s">
        <v>66</v>
      </c>
      <c r="E115">
        <v>2026</v>
      </c>
      <c r="F115" s="3">
        <v>46051</v>
      </c>
      <c r="G115" s="3">
        <v>46210</v>
      </c>
      <c r="H115" s="4">
        <v>5179</v>
      </c>
      <c r="I115" s="4">
        <v>2415.38</v>
      </c>
      <c r="J115" s="4">
        <f>H115-I115</f>
        <v>2763.62</v>
      </c>
      <c r="K115" s="3">
        <v>46147</v>
      </c>
      <c r="L115">
        <f t="shared" si="1"/>
        <v>69</v>
      </c>
      <c r="M115" t="str">
        <f>IF(J115&lt;=0,"Paid",IF(L115=0,"Current",IF(L115&lt;=30,"1-30 Days",IF(L115&lt;=60,"31-60 Days",IF(L115&lt;=90,"61-90 Days","90+ Days")))))</f>
        <v>61-90 Days</v>
      </c>
      <c r="N115" t="s">
        <v>19</v>
      </c>
    </row>
    <row r="116" spans="1:14" hidden="1">
      <c r="A116" t="s">
        <v>287</v>
      </c>
      <c r="B116" t="s">
        <v>288</v>
      </c>
      <c r="C116" t="s">
        <v>28</v>
      </c>
      <c r="D116" t="s">
        <v>66</v>
      </c>
      <c r="E116">
        <v>2026</v>
      </c>
      <c r="F116" s="3">
        <v>45891</v>
      </c>
      <c r="G116" s="3">
        <v>46210</v>
      </c>
      <c r="H116" s="4">
        <v>3921</v>
      </c>
      <c r="I116" s="4">
        <v>1164.8599999999999</v>
      </c>
      <c r="J116" s="4">
        <f>H116-I116</f>
        <v>2756.1400000000003</v>
      </c>
      <c r="K116" s="3">
        <v>46147</v>
      </c>
      <c r="L116">
        <f t="shared" si="1"/>
        <v>69</v>
      </c>
      <c r="M116" t="str">
        <f>IF(J116&lt;=0,"Paid",IF(L116=0,"Current",IF(L116&lt;=30,"1-30 Days",IF(L116&lt;=60,"31-60 Days",IF(L116&lt;=90,"61-90 Days","90+ Days")))))</f>
        <v>61-90 Days</v>
      </c>
      <c r="N116" t="s">
        <v>17</v>
      </c>
    </row>
    <row r="117" spans="1:14" hidden="1">
      <c r="A117" t="s">
        <v>289</v>
      </c>
      <c r="B117" t="s">
        <v>290</v>
      </c>
      <c r="C117" t="s">
        <v>29</v>
      </c>
      <c r="D117" t="s">
        <v>66</v>
      </c>
      <c r="E117">
        <v>2026</v>
      </c>
      <c r="F117" s="3">
        <v>46152</v>
      </c>
      <c r="G117" s="3">
        <v>46210</v>
      </c>
      <c r="H117" s="4">
        <v>4116</v>
      </c>
      <c r="I117" s="4">
        <v>1360.18</v>
      </c>
      <c r="J117" s="4">
        <f>H117-I117</f>
        <v>2755.8199999999997</v>
      </c>
      <c r="K117" s="3">
        <v>46147</v>
      </c>
      <c r="L117">
        <f t="shared" si="1"/>
        <v>69</v>
      </c>
      <c r="M117" t="str">
        <f>IF(J117&lt;=0,"Paid",IF(L117=0,"Current",IF(L117&lt;=30,"1-30 Days",IF(L117&lt;=60,"31-60 Days",IF(L117&lt;=90,"61-90 Days","90+ Days")))))</f>
        <v>61-90 Days</v>
      </c>
      <c r="N117" t="s">
        <v>17</v>
      </c>
    </row>
    <row r="118" spans="1:14" hidden="1">
      <c r="A118" t="s">
        <v>291</v>
      </c>
      <c r="B118" t="s">
        <v>292</v>
      </c>
      <c r="C118" t="s">
        <v>28</v>
      </c>
      <c r="D118" t="s">
        <v>66</v>
      </c>
      <c r="E118">
        <v>2026</v>
      </c>
      <c r="F118" s="3">
        <v>45884</v>
      </c>
      <c r="G118" s="3">
        <v>46210</v>
      </c>
      <c r="H118" s="4">
        <v>4116</v>
      </c>
      <c r="I118" s="4">
        <v>1405.45</v>
      </c>
      <c r="J118" s="4">
        <f>H118-I118</f>
        <v>2710.55</v>
      </c>
      <c r="K118" s="3">
        <v>46147</v>
      </c>
      <c r="L118">
        <f t="shared" si="1"/>
        <v>69</v>
      </c>
      <c r="M118" t="str">
        <f>IF(J118&lt;=0,"Paid",IF(L118=0,"Current",IF(L118&lt;=30,"1-30 Days",IF(L118&lt;=60,"31-60 Days",IF(L118&lt;=90,"61-90 Days","90+ Days")))))</f>
        <v>61-90 Days</v>
      </c>
      <c r="N118" t="s">
        <v>17</v>
      </c>
    </row>
    <row r="119" spans="1:14" hidden="1">
      <c r="A119" t="s">
        <v>293</v>
      </c>
      <c r="B119" t="s">
        <v>294</v>
      </c>
      <c r="C119" t="s">
        <v>29</v>
      </c>
      <c r="D119" t="s">
        <v>66</v>
      </c>
      <c r="E119">
        <v>2026</v>
      </c>
      <c r="F119" s="3">
        <v>46039</v>
      </c>
      <c r="G119" s="3">
        <v>46210</v>
      </c>
      <c r="H119" s="4">
        <v>3947</v>
      </c>
      <c r="I119" s="4">
        <v>1280.3</v>
      </c>
      <c r="J119" s="4">
        <f>H119-I119</f>
        <v>2666.7</v>
      </c>
      <c r="K119" s="3">
        <v>46147</v>
      </c>
      <c r="L119">
        <f t="shared" si="1"/>
        <v>69</v>
      </c>
      <c r="M119" t="str">
        <f>IF(J119&lt;=0,"Paid",IF(L119=0,"Current",IF(L119&lt;=30,"1-30 Days",IF(L119&lt;=60,"31-60 Days",IF(L119&lt;=90,"61-90 Days","90+ Days")))))</f>
        <v>61-90 Days</v>
      </c>
      <c r="N119" t="s">
        <v>15</v>
      </c>
    </row>
    <row r="120" spans="1:14" hidden="1">
      <c r="A120" t="s">
        <v>295</v>
      </c>
      <c r="B120" t="s">
        <v>296</v>
      </c>
      <c r="C120" t="s">
        <v>27</v>
      </c>
      <c r="D120" t="s">
        <v>66</v>
      </c>
      <c r="E120">
        <v>2026</v>
      </c>
      <c r="F120" s="3">
        <v>45885</v>
      </c>
      <c r="G120" s="3">
        <v>46210</v>
      </c>
      <c r="H120" s="4">
        <v>4868</v>
      </c>
      <c r="I120" s="4">
        <v>2206.85</v>
      </c>
      <c r="J120" s="4">
        <f>H120-I120</f>
        <v>2661.15</v>
      </c>
      <c r="K120" s="3">
        <v>46147</v>
      </c>
      <c r="L120">
        <f t="shared" si="1"/>
        <v>69</v>
      </c>
      <c r="M120" t="str">
        <f>IF(J120&lt;=0,"Paid",IF(L120=0,"Current",IF(L120&lt;=30,"1-30 Days",IF(L120&lt;=60,"31-60 Days",IF(L120&lt;=90,"61-90 Days","90+ Days")))))</f>
        <v>61-90 Days</v>
      </c>
      <c r="N120" t="s">
        <v>15</v>
      </c>
    </row>
    <row r="121" spans="1:14" hidden="1">
      <c r="A121" t="s">
        <v>297</v>
      </c>
      <c r="B121" t="s">
        <v>168</v>
      </c>
      <c r="C121" t="s">
        <v>27</v>
      </c>
      <c r="D121" t="s">
        <v>66</v>
      </c>
      <c r="E121">
        <v>2026</v>
      </c>
      <c r="F121" s="3">
        <v>46151</v>
      </c>
      <c r="G121" s="3">
        <v>46210</v>
      </c>
      <c r="H121" s="4">
        <v>4218</v>
      </c>
      <c r="I121" s="4">
        <v>1928.72</v>
      </c>
      <c r="J121" s="4">
        <f>H121-I121</f>
        <v>2289.2799999999997</v>
      </c>
      <c r="K121" s="3">
        <v>46147</v>
      </c>
      <c r="L121">
        <f t="shared" si="1"/>
        <v>69</v>
      </c>
      <c r="M121" t="str">
        <f>IF(J121&lt;=0,"Paid",IF(L121=0,"Current",IF(L121&lt;=30,"1-30 Days",IF(L121&lt;=60,"31-60 Days",IF(L121&lt;=90,"61-90 Days","90+ Days")))))</f>
        <v>61-90 Days</v>
      </c>
      <c r="N121" t="s">
        <v>15</v>
      </c>
    </row>
    <row r="122" spans="1:14" hidden="1">
      <c r="A122" t="s">
        <v>298</v>
      </c>
      <c r="B122" t="s">
        <v>299</v>
      </c>
      <c r="C122" t="s">
        <v>28</v>
      </c>
      <c r="D122" t="s">
        <v>66</v>
      </c>
      <c r="E122">
        <v>2026</v>
      </c>
      <c r="F122" s="3">
        <v>46044</v>
      </c>
      <c r="G122" s="3">
        <v>46210</v>
      </c>
      <c r="H122" s="4">
        <v>4243</v>
      </c>
      <c r="I122" s="4">
        <v>1955.24</v>
      </c>
      <c r="J122" s="4">
        <f>H122-I122</f>
        <v>2287.7600000000002</v>
      </c>
      <c r="K122" s="3">
        <v>46147</v>
      </c>
      <c r="L122">
        <f t="shared" si="1"/>
        <v>69</v>
      </c>
      <c r="M122" t="str">
        <f>IF(J122&lt;=0,"Paid",IF(L122=0,"Current",IF(L122&lt;=30,"1-30 Days",IF(L122&lt;=60,"31-60 Days",IF(L122&lt;=90,"61-90 Days","90+ Days")))))</f>
        <v>61-90 Days</v>
      </c>
      <c r="N122" t="s">
        <v>15</v>
      </c>
    </row>
    <row r="123" spans="1:14" hidden="1">
      <c r="A123" t="s">
        <v>300</v>
      </c>
      <c r="B123" t="s">
        <v>301</v>
      </c>
      <c r="C123" t="s">
        <v>25</v>
      </c>
      <c r="D123" t="s">
        <v>66</v>
      </c>
      <c r="E123">
        <v>2026</v>
      </c>
      <c r="F123" s="3">
        <v>46158</v>
      </c>
      <c r="G123" s="3">
        <v>46210</v>
      </c>
      <c r="H123" s="4">
        <v>4211</v>
      </c>
      <c r="I123" s="4">
        <v>1962.94</v>
      </c>
      <c r="J123" s="4">
        <f>H123-I123</f>
        <v>2248.06</v>
      </c>
      <c r="K123" s="3">
        <v>46147</v>
      </c>
      <c r="L123">
        <f t="shared" si="1"/>
        <v>69</v>
      </c>
      <c r="M123" t="str">
        <f>IF(J123&lt;=0,"Paid",IF(L123=0,"Current",IF(L123&lt;=30,"1-30 Days",IF(L123&lt;=60,"31-60 Days",IF(L123&lt;=90,"61-90 Days","90+ Days")))))</f>
        <v>61-90 Days</v>
      </c>
      <c r="N123" t="s">
        <v>15</v>
      </c>
    </row>
    <row r="124" spans="1:14" hidden="1">
      <c r="A124" t="s">
        <v>302</v>
      </c>
      <c r="B124" t="s">
        <v>303</v>
      </c>
      <c r="C124" t="s">
        <v>28</v>
      </c>
      <c r="D124" t="s">
        <v>66</v>
      </c>
      <c r="E124">
        <v>2026</v>
      </c>
      <c r="F124" s="3">
        <v>46162</v>
      </c>
      <c r="G124" s="3">
        <v>46210</v>
      </c>
      <c r="H124" s="4">
        <v>4314</v>
      </c>
      <c r="I124" s="4">
        <v>2162.5300000000002</v>
      </c>
      <c r="J124" s="4">
        <f>H124-I124</f>
        <v>2151.4699999999998</v>
      </c>
      <c r="K124" s="3">
        <v>46147</v>
      </c>
      <c r="L124">
        <f t="shared" si="1"/>
        <v>69</v>
      </c>
      <c r="M124" t="str">
        <f>IF(J124&lt;=0,"Paid",IF(L124=0,"Current",IF(L124&lt;=30,"1-30 Days",IF(L124&lt;=60,"31-60 Days",IF(L124&lt;=90,"61-90 Days","90+ Days")))))</f>
        <v>61-90 Days</v>
      </c>
      <c r="N124" t="s">
        <v>17</v>
      </c>
    </row>
    <row r="125" spans="1:14" hidden="1">
      <c r="A125" t="s">
        <v>304</v>
      </c>
      <c r="B125" t="s">
        <v>305</v>
      </c>
      <c r="C125" t="s">
        <v>28</v>
      </c>
      <c r="D125" t="s">
        <v>66</v>
      </c>
      <c r="E125">
        <v>2026</v>
      </c>
      <c r="F125" s="3">
        <v>46162</v>
      </c>
      <c r="G125" s="3">
        <v>46210</v>
      </c>
      <c r="H125" s="4">
        <v>4375</v>
      </c>
      <c r="I125" s="4">
        <v>2249.75</v>
      </c>
      <c r="J125" s="4">
        <f>H125-I125</f>
        <v>2125.25</v>
      </c>
      <c r="K125" s="3">
        <v>46147</v>
      </c>
      <c r="L125">
        <f t="shared" si="1"/>
        <v>69</v>
      </c>
      <c r="M125" t="str">
        <f>IF(J125&lt;=0,"Paid",IF(L125=0,"Current",IF(L125&lt;=30,"1-30 Days",IF(L125&lt;=60,"31-60 Days",IF(L125&lt;=90,"61-90 Days","90+ Days")))))</f>
        <v>61-90 Days</v>
      </c>
      <c r="N125" t="s">
        <v>15</v>
      </c>
    </row>
    <row r="126" spans="1:14" hidden="1">
      <c r="A126" t="s">
        <v>306</v>
      </c>
      <c r="B126" t="s">
        <v>307</v>
      </c>
      <c r="C126" t="s">
        <v>25</v>
      </c>
      <c r="D126" t="s">
        <v>66</v>
      </c>
      <c r="E126">
        <v>2026</v>
      </c>
      <c r="F126" s="3">
        <v>46162</v>
      </c>
      <c r="G126" s="3">
        <v>46210</v>
      </c>
      <c r="H126" s="4">
        <v>3900</v>
      </c>
      <c r="I126" s="4">
        <v>1788.29</v>
      </c>
      <c r="J126" s="4">
        <f>H126-I126</f>
        <v>2111.71</v>
      </c>
      <c r="K126" s="3">
        <v>46147</v>
      </c>
      <c r="L126">
        <f t="shared" si="1"/>
        <v>69</v>
      </c>
      <c r="M126" t="str">
        <f>IF(J126&lt;=0,"Paid",IF(L126=0,"Current",IF(L126&lt;=30,"1-30 Days",IF(L126&lt;=60,"31-60 Days",IF(L126&lt;=90,"61-90 Days","90+ Days")))))</f>
        <v>61-90 Days</v>
      </c>
      <c r="N126" t="s">
        <v>15</v>
      </c>
    </row>
    <row r="127" spans="1:14" hidden="1">
      <c r="A127" t="s">
        <v>308</v>
      </c>
      <c r="B127" t="s">
        <v>73</v>
      </c>
      <c r="C127" t="s">
        <v>29</v>
      </c>
      <c r="D127" t="s">
        <v>66</v>
      </c>
      <c r="E127">
        <v>2026</v>
      </c>
      <c r="F127" s="3">
        <v>46025</v>
      </c>
      <c r="G127" s="3">
        <v>46210</v>
      </c>
      <c r="H127" s="4">
        <v>4411</v>
      </c>
      <c r="I127" s="4">
        <v>2330.88</v>
      </c>
      <c r="J127" s="4">
        <f>H127-I127</f>
        <v>2080.12</v>
      </c>
      <c r="K127" s="3">
        <v>46147</v>
      </c>
      <c r="L127">
        <f t="shared" si="1"/>
        <v>69</v>
      </c>
      <c r="M127" t="str">
        <f>IF(J127&lt;=0,"Paid",IF(L127=0,"Current",IF(L127&lt;=30,"1-30 Days",IF(L127&lt;=60,"31-60 Days",IF(L127&lt;=90,"61-90 Days","90+ Days")))))</f>
        <v>61-90 Days</v>
      </c>
      <c r="N127" t="s">
        <v>15</v>
      </c>
    </row>
    <row r="128" spans="1:14" hidden="1">
      <c r="A128" t="s">
        <v>309</v>
      </c>
      <c r="B128" t="s">
        <v>310</v>
      </c>
      <c r="C128" t="s">
        <v>27</v>
      </c>
      <c r="D128" t="s">
        <v>66</v>
      </c>
      <c r="E128">
        <v>2026</v>
      </c>
      <c r="F128" s="3">
        <v>46154</v>
      </c>
      <c r="G128" s="3">
        <v>46210</v>
      </c>
      <c r="H128" s="4">
        <v>4632</v>
      </c>
      <c r="I128" s="4">
        <v>2603.98</v>
      </c>
      <c r="J128" s="4">
        <f>H128-I128</f>
        <v>2028.02</v>
      </c>
      <c r="K128" s="3">
        <v>46147</v>
      </c>
      <c r="L128">
        <f t="shared" si="1"/>
        <v>69</v>
      </c>
      <c r="M128" t="str">
        <f>IF(J128&lt;=0,"Paid",IF(L128=0,"Current",IF(L128&lt;=30,"1-30 Days",IF(L128&lt;=60,"31-60 Days",IF(L128&lt;=90,"61-90 Days","90+ Days")))))</f>
        <v>61-90 Days</v>
      </c>
      <c r="N128" t="s">
        <v>15</v>
      </c>
    </row>
    <row r="129" spans="1:14" hidden="1">
      <c r="A129" t="s">
        <v>311</v>
      </c>
      <c r="B129" t="s">
        <v>312</v>
      </c>
      <c r="C129" t="s">
        <v>27</v>
      </c>
      <c r="D129" t="s">
        <v>66</v>
      </c>
      <c r="E129">
        <v>2026</v>
      </c>
      <c r="F129" s="3">
        <v>45898</v>
      </c>
      <c r="G129" s="3">
        <v>46210</v>
      </c>
      <c r="H129" s="4">
        <v>4336</v>
      </c>
      <c r="I129" s="4">
        <v>2315.44</v>
      </c>
      <c r="J129" s="4">
        <f>H129-I129</f>
        <v>2020.56</v>
      </c>
      <c r="K129" s="3">
        <v>46147</v>
      </c>
      <c r="L129">
        <f t="shared" si="1"/>
        <v>69</v>
      </c>
      <c r="M129" t="str">
        <f>IF(J129&lt;=0,"Paid",IF(L129=0,"Current",IF(L129&lt;=30,"1-30 Days",IF(L129&lt;=60,"31-60 Days",IF(L129&lt;=90,"61-90 Days","90+ Days")))))</f>
        <v>61-90 Days</v>
      </c>
      <c r="N129" t="s">
        <v>15</v>
      </c>
    </row>
    <row r="130" spans="1:14" hidden="1">
      <c r="A130" t="s">
        <v>313</v>
      </c>
      <c r="B130" t="s">
        <v>314</v>
      </c>
      <c r="C130" t="s">
        <v>27</v>
      </c>
      <c r="D130" t="s">
        <v>66</v>
      </c>
      <c r="E130">
        <v>2026</v>
      </c>
      <c r="F130" s="3">
        <v>46034</v>
      </c>
      <c r="G130" s="3">
        <v>46210</v>
      </c>
      <c r="H130" s="4">
        <v>4557</v>
      </c>
      <c r="I130" s="4">
        <v>2558.84</v>
      </c>
      <c r="J130" s="4">
        <f>H130-I130</f>
        <v>1998.1599999999999</v>
      </c>
      <c r="K130" s="3">
        <v>46147</v>
      </c>
      <c r="L130">
        <f t="shared" si="1"/>
        <v>69</v>
      </c>
      <c r="M130" t="str">
        <f>IF(J130&lt;=0,"Paid",IF(L130=0,"Current",IF(L130&lt;=30,"1-30 Days",IF(L130&lt;=60,"31-60 Days",IF(L130&lt;=90,"61-90 Days","90+ Days")))))</f>
        <v>61-90 Days</v>
      </c>
      <c r="N130" t="s">
        <v>19</v>
      </c>
    </row>
    <row r="131" spans="1:14" hidden="1">
      <c r="A131" t="s">
        <v>315</v>
      </c>
      <c r="B131" t="s">
        <v>316</v>
      </c>
      <c r="C131" t="s">
        <v>26</v>
      </c>
      <c r="D131" t="s">
        <v>66</v>
      </c>
      <c r="E131">
        <v>2026</v>
      </c>
      <c r="F131" s="3">
        <v>46178</v>
      </c>
      <c r="G131" s="3">
        <v>46210</v>
      </c>
      <c r="H131" s="4">
        <v>4990</v>
      </c>
      <c r="I131" s="4">
        <v>3027.52</v>
      </c>
      <c r="J131" s="4">
        <f>H131-I131</f>
        <v>1962.48</v>
      </c>
      <c r="K131" s="3">
        <v>46147</v>
      </c>
      <c r="L131">
        <f t="shared" ref="L131:L194" si="2">IF(J131&lt;=0,0,MAX(0,$O$3-K131))</f>
        <v>69</v>
      </c>
      <c r="M131" t="str">
        <f>IF(J131&lt;=0,"Paid",IF(L131=0,"Current",IF(L131&lt;=30,"1-30 Days",IF(L131&lt;=60,"31-60 Days",IF(L131&lt;=90,"61-90 Days","90+ Days")))))</f>
        <v>61-90 Days</v>
      </c>
      <c r="N131" t="s">
        <v>15</v>
      </c>
    </row>
    <row r="132" spans="1:14" hidden="1">
      <c r="A132" t="s">
        <v>317</v>
      </c>
      <c r="B132" t="s">
        <v>101</v>
      </c>
      <c r="C132" t="s">
        <v>28</v>
      </c>
      <c r="D132" t="s">
        <v>66</v>
      </c>
      <c r="E132">
        <v>2026</v>
      </c>
      <c r="F132" s="3">
        <v>46033</v>
      </c>
      <c r="G132" s="3">
        <v>46210</v>
      </c>
      <c r="H132" s="4">
        <v>3705</v>
      </c>
      <c r="I132" s="4">
        <v>1796.3</v>
      </c>
      <c r="J132" s="4">
        <f>H132-I132</f>
        <v>1908.7</v>
      </c>
      <c r="K132" s="3">
        <v>46147</v>
      </c>
      <c r="L132">
        <f t="shared" si="2"/>
        <v>69</v>
      </c>
      <c r="M132" t="str">
        <f>IF(J132&lt;=0,"Paid",IF(L132=0,"Current",IF(L132&lt;=30,"1-30 Days",IF(L132&lt;=60,"31-60 Days",IF(L132&lt;=90,"61-90 Days","90+ Days")))))</f>
        <v>61-90 Days</v>
      </c>
      <c r="N132" t="s">
        <v>17</v>
      </c>
    </row>
    <row r="133" spans="1:14" hidden="1">
      <c r="A133" t="s">
        <v>318</v>
      </c>
      <c r="B133" t="s">
        <v>319</v>
      </c>
      <c r="C133" t="s">
        <v>28</v>
      </c>
      <c r="D133" t="s">
        <v>66</v>
      </c>
      <c r="E133">
        <v>2026</v>
      </c>
      <c r="F133" s="3">
        <v>46049</v>
      </c>
      <c r="G133" s="3">
        <v>46210</v>
      </c>
      <c r="H133" s="4">
        <v>3941</v>
      </c>
      <c r="I133" s="4">
        <v>2063.5300000000002</v>
      </c>
      <c r="J133" s="4">
        <f>H133-I133</f>
        <v>1877.4699999999998</v>
      </c>
      <c r="K133" s="3">
        <v>46147</v>
      </c>
      <c r="L133">
        <f t="shared" si="2"/>
        <v>69</v>
      </c>
      <c r="M133" t="str">
        <f>IF(J133&lt;=0,"Paid",IF(L133=0,"Current",IF(L133&lt;=30,"1-30 Days",IF(L133&lt;=60,"31-60 Days",IF(L133&lt;=90,"61-90 Days","90+ Days")))))</f>
        <v>61-90 Days</v>
      </c>
      <c r="N133" t="s">
        <v>15</v>
      </c>
    </row>
    <row r="134" spans="1:14" hidden="1">
      <c r="A134" t="s">
        <v>320</v>
      </c>
      <c r="B134" t="s">
        <v>321</v>
      </c>
      <c r="C134" t="s">
        <v>26</v>
      </c>
      <c r="D134" t="s">
        <v>66</v>
      </c>
      <c r="E134">
        <v>2026</v>
      </c>
      <c r="F134" s="3">
        <v>46164</v>
      </c>
      <c r="G134" s="3">
        <v>46210</v>
      </c>
      <c r="H134" s="4">
        <v>5068</v>
      </c>
      <c r="I134" s="4">
        <v>3205.26</v>
      </c>
      <c r="J134" s="4">
        <f>H134-I134</f>
        <v>1862.7399999999998</v>
      </c>
      <c r="K134" s="3">
        <v>46147</v>
      </c>
      <c r="L134">
        <f t="shared" si="2"/>
        <v>69</v>
      </c>
      <c r="M134" t="str">
        <f>IF(J134&lt;=0,"Paid",IF(L134=0,"Current",IF(L134&lt;=30,"1-30 Days",IF(L134&lt;=60,"31-60 Days",IF(L134&lt;=90,"61-90 Days","90+ Days")))))</f>
        <v>61-90 Days</v>
      </c>
      <c r="N134" t="s">
        <v>17</v>
      </c>
    </row>
    <row r="135" spans="1:14" hidden="1">
      <c r="A135" t="s">
        <v>322</v>
      </c>
      <c r="B135" t="s">
        <v>323</v>
      </c>
      <c r="C135" t="s">
        <v>28</v>
      </c>
      <c r="D135" t="s">
        <v>66</v>
      </c>
      <c r="E135">
        <v>2026</v>
      </c>
      <c r="F135" s="3">
        <v>45889</v>
      </c>
      <c r="G135" s="3">
        <v>46210</v>
      </c>
      <c r="H135" s="4">
        <v>4173</v>
      </c>
      <c r="I135" s="4">
        <v>2328.15</v>
      </c>
      <c r="J135" s="4">
        <f>H135-I135</f>
        <v>1844.85</v>
      </c>
      <c r="K135" s="3">
        <v>46147</v>
      </c>
      <c r="L135">
        <f t="shared" si="2"/>
        <v>69</v>
      </c>
      <c r="M135" t="str">
        <f>IF(J135&lt;=0,"Paid",IF(L135=0,"Current",IF(L135&lt;=30,"1-30 Days",IF(L135&lt;=60,"31-60 Days",IF(L135&lt;=90,"61-90 Days","90+ Days")))))</f>
        <v>61-90 Days</v>
      </c>
      <c r="N135" t="s">
        <v>15</v>
      </c>
    </row>
    <row r="136" spans="1:14" hidden="1">
      <c r="A136" t="s">
        <v>324</v>
      </c>
      <c r="B136" t="s">
        <v>193</v>
      </c>
      <c r="C136" t="s">
        <v>25</v>
      </c>
      <c r="D136" t="s">
        <v>66</v>
      </c>
      <c r="E136">
        <v>2026</v>
      </c>
      <c r="F136" s="3">
        <v>46181</v>
      </c>
      <c r="G136" s="3">
        <v>46210</v>
      </c>
      <c r="H136" s="4">
        <v>4305</v>
      </c>
      <c r="I136" s="4">
        <v>2468.64</v>
      </c>
      <c r="J136" s="4">
        <f>H136-I136</f>
        <v>1836.3600000000001</v>
      </c>
      <c r="K136" s="3">
        <v>46147</v>
      </c>
      <c r="L136">
        <f t="shared" si="2"/>
        <v>69</v>
      </c>
      <c r="M136" t="str">
        <f>IF(J136&lt;=0,"Paid",IF(L136=0,"Current",IF(L136&lt;=30,"1-30 Days",IF(L136&lt;=60,"31-60 Days",IF(L136&lt;=90,"61-90 Days","90+ Days")))))</f>
        <v>61-90 Days</v>
      </c>
      <c r="N136" t="s">
        <v>15</v>
      </c>
    </row>
    <row r="137" spans="1:14" hidden="1">
      <c r="A137" t="s">
        <v>325</v>
      </c>
      <c r="B137" t="s">
        <v>326</v>
      </c>
      <c r="C137" t="s">
        <v>25</v>
      </c>
      <c r="D137" t="s">
        <v>66</v>
      </c>
      <c r="E137">
        <v>2026</v>
      </c>
      <c r="F137" s="3">
        <v>46025</v>
      </c>
      <c r="G137" s="3">
        <v>46210</v>
      </c>
      <c r="H137" s="4">
        <v>4013</v>
      </c>
      <c r="I137" s="4">
        <v>2238.35</v>
      </c>
      <c r="J137" s="4">
        <f>H137-I137</f>
        <v>1774.65</v>
      </c>
      <c r="K137" s="3">
        <v>46147</v>
      </c>
      <c r="L137">
        <f t="shared" si="2"/>
        <v>69</v>
      </c>
      <c r="M137" t="str">
        <f>IF(J137&lt;=0,"Paid",IF(L137=0,"Current",IF(L137&lt;=30,"1-30 Days",IF(L137&lt;=60,"31-60 Days",IF(L137&lt;=90,"61-90 Days","90+ Days")))))</f>
        <v>61-90 Days</v>
      </c>
      <c r="N137" t="s">
        <v>17</v>
      </c>
    </row>
    <row r="138" spans="1:14" hidden="1">
      <c r="A138" t="s">
        <v>327</v>
      </c>
      <c r="B138" t="s">
        <v>314</v>
      </c>
      <c r="C138" t="s">
        <v>25</v>
      </c>
      <c r="D138" t="s">
        <v>66</v>
      </c>
      <c r="E138">
        <v>2026</v>
      </c>
      <c r="F138" s="3">
        <v>46161</v>
      </c>
      <c r="G138" s="3">
        <v>46210</v>
      </c>
      <c r="H138" s="4">
        <v>3742</v>
      </c>
      <c r="I138" s="4">
        <v>1978.49</v>
      </c>
      <c r="J138" s="4">
        <f>H138-I138</f>
        <v>1763.51</v>
      </c>
      <c r="K138" s="3">
        <v>46147</v>
      </c>
      <c r="L138">
        <f t="shared" si="2"/>
        <v>69</v>
      </c>
      <c r="M138" t="str">
        <f>IF(J138&lt;=0,"Paid",IF(L138=0,"Current",IF(L138&lt;=30,"1-30 Days",IF(L138&lt;=60,"31-60 Days",IF(L138&lt;=90,"61-90 Days","90+ Days")))))</f>
        <v>61-90 Days</v>
      </c>
      <c r="N138" t="s">
        <v>15</v>
      </c>
    </row>
    <row r="139" spans="1:14" hidden="1">
      <c r="A139" t="s">
        <v>328</v>
      </c>
      <c r="B139" t="s">
        <v>329</v>
      </c>
      <c r="C139" t="s">
        <v>27</v>
      </c>
      <c r="D139" t="s">
        <v>66</v>
      </c>
      <c r="E139">
        <v>2026</v>
      </c>
      <c r="F139" s="3">
        <v>46052</v>
      </c>
      <c r="G139" s="3">
        <v>46210</v>
      </c>
      <c r="H139" s="4">
        <v>4485</v>
      </c>
      <c r="I139" s="4">
        <v>2743.71</v>
      </c>
      <c r="J139" s="4">
        <f>H139-I139</f>
        <v>1741.29</v>
      </c>
      <c r="K139" s="3">
        <v>46147</v>
      </c>
      <c r="L139">
        <f t="shared" si="2"/>
        <v>69</v>
      </c>
      <c r="M139" t="str">
        <f>IF(J139&lt;=0,"Paid",IF(L139=0,"Current",IF(L139&lt;=30,"1-30 Days",IF(L139&lt;=60,"31-60 Days",IF(L139&lt;=90,"61-90 Days","90+ Days")))))</f>
        <v>61-90 Days</v>
      </c>
      <c r="N139" t="s">
        <v>19</v>
      </c>
    </row>
    <row r="140" spans="1:14" hidden="1">
      <c r="A140" t="s">
        <v>330</v>
      </c>
      <c r="B140" t="s">
        <v>331</v>
      </c>
      <c r="C140" t="s">
        <v>27</v>
      </c>
      <c r="D140" t="s">
        <v>66</v>
      </c>
      <c r="E140">
        <v>2026</v>
      </c>
      <c r="F140" s="3">
        <v>46148</v>
      </c>
      <c r="G140" s="3">
        <v>46210</v>
      </c>
      <c r="H140" s="4">
        <v>4151</v>
      </c>
      <c r="I140" s="4">
        <v>2474.75</v>
      </c>
      <c r="J140" s="4">
        <f>H140-I140</f>
        <v>1676.25</v>
      </c>
      <c r="K140" s="3">
        <v>46147</v>
      </c>
      <c r="L140">
        <f t="shared" si="2"/>
        <v>69</v>
      </c>
      <c r="M140" t="str">
        <f>IF(J140&lt;=0,"Paid",IF(L140=0,"Current",IF(L140&lt;=30,"1-30 Days",IF(L140&lt;=60,"31-60 Days",IF(L140&lt;=90,"61-90 Days","90+ Days")))))</f>
        <v>61-90 Days</v>
      </c>
      <c r="N140" t="s">
        <v>15</v>
      </c>
    </row>
    <row r="141" spans="1:14" hidden="1">
      <c r="A141" t="s">
        <v>332</v>
      </c>
      <c r="B141" t="s">
        <v>333</v>
      </c>
      <c r="C141" t="s">
        <v>25</v>
      </c>
      <c r="D141" t="s">
        <v>66</v>
      </c>
      <c r="E141">
        <v>2026</v>
      </c>
      <c r="F141" s="3">
        <v>46028</v>
      </c>
      <c r="G141" s="3">
        <v>46210</v>
      </c>
      <c r="H141" s="4">
        <v>3984</v>
      </c>
      <c r="I141" s="4">
        <v>2332.1799999999998</v>
      </c>
      <c r="J141" s="4">
        <f>H141-I141</f>
        <v>1651.8200000000002</v>
      </c>
      <c r="K141" s="3">
        <v>46147</v>
      </c>
      <c r="L141">
        <f t="shared" si="2"/>
        <v>69</v>
      </c>
      <c r="M141" t="str">
        <f>IF(J141&lt;=0,"Paid",IF(L141=0,"Current",IF(L141&lt;=30,"1-30 Days",IF(L141&lt;=60,"31-60 Days",IF(L141&lt;=90,"61-90 Days","90+ Days")))))</f>
        <v>61-90 Days</v>
      </c>
      <c r="N141" t="s">
        <v>15</v>
      </c>
    </row>
    <row r="142" spans="1:14" hidden="1">
      <c r="A142" t="s">
        <v>334</v>
      </c>
      <c r="B142" t="s">
        <v>335</v>
      </c>
      <c r="C142" t="s">
        <v>27</v>
      </c>
      <c r="D142" t="s">
        <v>66</v>
      </c>
      <c r="E142">
        <v>2026</v>
      </c>
      <c r="F142" s="3">
        <v>46174</v>
      </c>
      <c r="G142" s="3">
        <v>46210</v>
      </c>
      <c r="H142" s="4">
        <v>4565</v>
      </c>
      <c r="I142" s="4">
        <v>2988.58</v>
      </c>
      <c r="J142" s="4">
        <f>H142-I142</f>
        <v>1576.42</v>
      </c>
      <c r="K142" s="3">
        <v>46147</v>
      </c>
      <c r="L142">
        <f t="shared" si="2"/>
        <v>69</v>
      </c>
      <c r="M142" t="str">
        <f>IF(J142&lt;=0,"Paid",IF(L142=0,"Current",IF(L142&lt;=30,"1-30 Days",IF(L142&lt;=60,"31-60 Days",IF(L142&lt;=90,"61-90 Days","90+ Days")))))</f>
        <v>61-90 Days</v>
      </c>
      <c r="N142" t="s">
        <v>17</v>
      </c>
    </row>
    <row r="143" spans="1:14" hidden="1">
      <c r="A143" t="s">
        <v>336</v>
      </c>
      <c r="B143" t="s">
        <v>337</v>
      </c>
      <c r="C143" t="s">
        <v>29</v>
      </c>
      <c r="D143" t="s">
        <v>66</v>
      </c>
      <c r="E143">
        <v>2026</v>
      </c>
      <c r="F143" s="3">
        <v>46161</v>
      </c>
      <c r="G143" s="3">
        <v>46210</v>
      </c>
      <c r="H143" s="4">
        <v>4086</v>
      </c>
      <c r="I143" s="4">
        <v>2549.8200000000002</v>
      </c>
      <c r="J143" s="4">
        <f>H143-I143</f>
        <v>1536.1799999999998</v>
      </c>
      <c r="K143" s="3">
        <v>46147</v>
      </c>
      <c r="L143">
        <f t="shared" si="2"/>
        <v>69</v>
      </c>
      <c r="M143" t="str">
        <f>IF(J143&lt;=0,"Paid",IF(L143=0,"Current",IF(L143&lt;=30,"1-30 Days",IF(L143&lt;=60,"31-60 Days",IF(L143&lt;=90,"61-90 Days","90+ Days")))))</f>
        <v>61-90 Days</v>
      </c>
      <c r="N143" t="s">
        <v>15</v>
      </c>
    </row>
    <row r="144" spans="1:14" hidden="1">
      <c r="A144" t="s">
        <v>338</v>
      </c>
      <c r="B144" t="s">
        <v>339</v>
      </c>
      <c r="C144" t="s">
        <v>27</v>
      </c>
      <c r="D144" t="s">
        <v>66</v>
      </c>
      <c r="E144">
        <v>2026</v>
      </c>
      <c r="F144" s="3">
        <v>46021</v>
      </c>
      <c r="G144" s="3">
        <v>46210</v>
      </c>
      <c r="H144" s="4">
        <v>4518</v>
      </c>
      <c r="I144" s="4">
        <v>3021.58</v>
      </c>
      <c r="J144" s="4">
        <f>H144-I144</f>
        <v>1496.42</v>
      </c>
      <c r="K144" s="3">
        <v>46147</v>
      </c>
      <c r="L144">
        <f t="shared" si="2"/>
        <v>69</v>
      </c>
      <c r="M144" t="str">
        <f>IF(J144&lt;=0,"Paid",IF(L144=0,"Current",IF(L144&lt;=30,"1-30 Days",IF(L144&lt;=60,"31-60 Days",IF(L144&lt;=90,"61-90 Days","90+ Days")))))</f>
        <v>61-90 Days</v>
      </c>
      <c r="N144" t="s">
        <v>17</v>
      </c>
    </row>
    <row r="145" spans="1:14" hidden="1">
      <c r="A145" t="s">
        <v>340</v>
      </c>
      <c r="B145" t="s">
        <v>168</v>
      </c>
      <c r="C145" t="s">
        <v>25</v>
      </c>
      <c r="D145" t="s">
        <v>66</v>
      </c>
      <c r="E145">
        <v>2026</v>
      </c>
      <c r="F145" s="3">
        <v>45881</v>
      </c>
      <c r="G145" s="3">
        <v>46210</v>
      </c>
      <c r="H145" s="4">
        <v>4143</v>
      </c>
      <c r="I145" s="4">
        <v>2662.78</v>
      </c>
      <c r="J145" s="4">
        <f>H145-I145</f>
        <v>1480.2199999999998</v>
      </c>
      <c r="K145" s="3">
        <v>46147</v>
      </c>
      <c r="L145">
        <f t="shared" si="2"/>
        <v>69</v>
      </c>
      <c r="M145" t="str">
        <f>IF(J145&lt;=0,"Paid",IF(L145=0,"Current",IF(L145&lt;=30,"1-30 Days",IF(L145&lt;=60,"31-60 Days",IF(L145&lt;=90,"61-90 Days","90+ Days")))))</f>
        <v>61-90 Days</v>
      </c>
      <c r="N145" t="s">
        <v>15</v>
      </c>
    </row>
    <row r="146" spans="1:14" hidden="1">
      <c r="A146" t="s">
        <v>341</v>
      </c>
      <c r="B146" t="s">
        <v>342</v>
      </c>
      <c r="C146" t="s">
        <v>28</v>
      </c>
      <c r="D146" t="s">
        <v>66</v>
      </c>
      <c r="E146">
        <v>2026</v>
      </c>
      <c r="F146" s="3">
        <v>46028</v>
      </c>
      <c r="G146" s="3">
        <v>46210</v>
      </c>
      <c r="H146" s="4">
        <v>3959</v>
      </c>
      <c r="I146" s="4">
        <v>2496.06</v>
      </c>
      <c r="J146" s="4">
        <f>H146-I146</f>
        <v>1462.94</v>
      </c>
      <c r="K146" s="3">
        <v>46147</v>
      </c>
      <c r="L146">
        <f t="shared" si="2"/>
        <v>69</v>
      </c>
      <c r="M146" t="str">
        <f>IF(J146&lt;=0,"Paid",IF(L146=0,"Current",IF(L146&lt;=30,"1-30 Days",IF(L146&lt;=60,"31-60 Days",IF(L146&lt;=90,"61-90 Days","90+ Days")))))</f>
        <v>61-90 Days</v>
      </c>
      <c r="N146" t="s">
        <v>15</v>
      </c>
    </row>
    <row r="147" spans="1:14" hidden="1">
      <c r="A147" t="s">
        <v>343</v>
      </c>
      <c r="B147" t="s">
        <v>344</v>
      </c>
      <c r="C147" t="s">
        <v>29</v>
      </c>
      <c r="D147" t="s">
        <v>66</v>
      </c>
      <c r="E147">
        <v>2026</v>
      </c>
      <c r="F147" s="3">
        <v>46151</v>
      </c>
      <c r="G147" s="3">
        <v>46210</v>
      </c>
      <c r="H147" s="4">
        <v>4108</v>
      </c>
      <c r="I147" s="4">
        <v>2647.12</v>
      </c>
      <c r="J147" s="4">
        <f>H147-I147</f>
        <v>1460.88</v>
      </c>
      <c r="K147" s="3">
        <v>46147</v>
      </c>
      <c r="L147">
        <f t="shared" si="2"/>
        <v>69</v>
      </c>
      <c r="M147" t="str">
        <f>IF(J147&lt;=0,"Paid",IF(L147=0,"Current",IF(L147&lt;=30,"1-30 Days",IF(L147&lt;=60,"31-60 Days",IF(L147&lt;=90,"61-90 Days","90+ Days")))))</f>
        <v>61-90 Days</v>
      </c>
      <c r="N147" t="s">
        <v>15</v>
      </c>
    </row>
    <row r="148" spans="1:14" hidden="1">
      <c r="A148" t="s">
        <v>345</v>
      </c>
      <c r="B148" t="s">
        <v>346</v>
      </c>
      <c r="C148" t="s">
        <v>29</v>
      </c>
      <c r="D148" t="s">
        <v>66</v>
      </c>
      <c r="E148">
        <v>2026</v>
      </c>
      <c r="F148" s="3">
        <v>46027</v>
      </c>
      <c r="G148" s="3">
        <v>46210</v>
      </c>
      <c r="H148" s="4">
        <v>3731</v>
      </c>
      <c r="I148" s="4">
        <v>2322.87</v>
      </c>
      <c r="J148" s="4">
        <f>H148-I148</f>
        <v>1408.13</v>
      </c>
      <c r="K148" s="3">
        <v>46147</v>
      </c>
      <c r="L148">
        <f t="shared" si="2"/>
        <v>69</v>
      </c>
      <c r="M148" t="str">
        <f>IF(J148&lt;=0,"Paid",IF(L148=0,"Current",IF(L148&lt;=30,"1-30 Days",IF(L148&lt;=60,"31-60 Days",IF(L148&lt;=90,"61-90 Days","90+ Days")))))</f>
        <v>61-90 Days</v>
      </c>
      <c r="N148" t="s">
        <v>15</v>
      </c>
    </row>
    <row r="149" spans="1:14" hidden="1">
      <c r="A149" t="s">
        <v>347</v>
      </c>
      <c r="B149" t="s">
        <v>348</v>
      </c>
      <c r="C149" t="s">
        <v>25</v>
      </c>
      <c r="D149" t="s">
        <v>66</v>
      </c>
      <c r="E149">
        <v>2026</v>
      </c>
      <c r="F149" s="3">
        <v>46044</v>
      </c>
      <c r="G149" s="3">
        <v>46210</v>
      </c>
      <c r="H149" s="4">
        <v>4069</v>
      </c>
      <c r="I149" s="4">
        <v>2681.78</v>
      </c>
      <c r="J149" s="4">
        <f>H149-I149</f>
        <v>1387.2199999999998</v>
      </c>
      <c r="K149" s="3">
        <v>46147</v>
      </c>
      <c r="L149">
        <f t="shared" si="2"/>
        <v>69</v>
      </c>
      <c r="M149" t="str">
        <f>IF(J149&lt;=0,"Paid",IF(L149=0,"Current",IF(L149&lt;=30,"1-30 Days",IF(L149&lt;=60,"31-60 Days",IF(L149&lt;=90,"61-90 Days","90+ Days")))))</f>
        <v>61-90 Days</v>
      </c>
      <c r="N149" t="s">
        <v>15</v>
      </c>
    </row>
    <row r="150" spans="1:14" hidden="1">
      <c r="A150" t="s">
        <v>349</v>
      </c>
      <c r="B150" t="s">
        <v>350</v>
      </c>
      <c r="C150" t="s">
        <v>25</v>
      </c>
      <c r="D150" t="s">
        <v>66</v>
      </c>
      <c r="E150">
        <v>2026</v>
      </c>
      <c r="F150" s="3">
        <v>46167</v>
      </c>
      <c r="G150" s="3">
        <v>46210</v>
      </c>
      <c r="H150" s="4">
        <v>4123</v>
      </c>
      <c r="I150" s="4">
        <v>2797.78</v>
      </c>
      <c r="J150" s="4">
        <f>H150-I150</f>
        <v>1325.2199999999998</v>
      </c>
      <c r="K150" s="3">
        <v>46147</v>
      </c>
      <c r="L150">
        <f t="shared" si="2"/>
        <v>69</v>
      </c>
      <c r="M150" t="str">
        <f>IF(J150&lt;=0,"Paid",IF(L150=0,"Current",IF(L150&lt;=30,"1-30 Days",IF(L150&lt;=60,"31-60 Days",IF(L150&lt;=90,"61-90 Days","90+ Days")))))</f>
        <v>61-90 Days</v>
      </c>
      <c r="N150" t="s">
        <v>15</v>
      </c>
    </row>
    <row r="151" spans="1:14" hidden="1">
      <c r="A151" t="s">
        <v>351</v>
      </c>
      <c r="B151" t="s">
        <v>352</v>
      </c>
      <c r="C151" t="s">
        <v>29</v>
      </c>
      <c r="D151" t="s">
        <v>66</v>
      </c>
      <c r="E151">
        <v>2026</v>
      </c>
      <c r="F151" s="3">
        <v>46156</v>
      </c>
      <c r="G151" s="3">
        <v>46210</v>
      </c>
      <c r="H151" s="4">
        <v>4076</v>
      </c>
      <c r="I151" s="4">
        <v>2780.02</v>
      </c>
      <c r="J151" s="4">
        <f>H151-I151</f>
        <v>1295.98</v>
      </c>
      <c r="K151" s="3">
        <v>46147</v>
      </c>
      <c r="L151">
        <f t="shared" si="2"/>
        <v>69</v>
      </c>
      <c r="M151" t="str">
        <f>IF(J151&lt;=0,"Paid",IF(L151=0,"Current",IF(L151&lt;=30,"1-30 Days",IF(L151&lt;=60,"31-60 Days",IF(L151&lt;=90,"61-90 Days","90+ Days")))))</f>
        <v>61-90 Days</v>
      </c>
      <c r="N151" t="s">
        <v>17</v>
      </c>
    </row>
    <row r="152" spans="1:14" hidden="1">
      <c r="A152" t="s">
        <v>353</v>
      </c>
      <c r="B152" t="s">
        <v>354</v>
      </c>
      <c r="C152" t="s">
        <v>26</v>
      </c>
      <c r="D152" t="s">
        <v>66</v>
      </c>
      <c r="E152">
        <v>2026</v>
      </c>
      <c r="F152" s="3">
        <v>46038</v>
      </c>
      <c r="G152" s="3">
        <v>46210</v>
      </c>
      <c r="H152" s="4">
        <v>5366</v>
      </c>
      <c r="I152" s="4">
        <v>4115.6899999999996</v>
      </c>
      <c r="J152" s="4">
        <f>H152-I152</f>
        <v>1250.3100000000004</v>
      </c>
      <c r="K152" s="3">
        <v>46147</v>
      </c>
      <c r="L152">
        <f t="shared" si="2"/>
        <v>69</v>
      </c>
      <c r="M152" t="str">
        <f>IF(J152&lt;=0,"Paid",IF(L152=0,"Current",IF(L152&lt;=30,"1-30 Days",IF(L152&lt;=60,"31-60 Days",IF(L152&lt;=90,"61-90 Days","90+ Days")))))</f>
        <v>61-90 Days</v>
      </c>
      <c r="N152" t="s">
        <v>15</v>
      </c>
    </row>
    <row r="153" spans="1:14" hidden="1">
      <c r="A153" t="s">
        <v>355</v>
      </c>
      <c r="B153" t="s">
        <v>356</v>
      </c>
      <c r="C153" t="s">
        <v>25</v>
      </c>
      <c r="D153" t="s">
        <v>66</v>
      </c>
      <c r="E153">
        <v>2026</v>
      </c>
      <c r="F153" s="3">
        <v>46023</v>
      </c>
      <c r="G153" s="3">
        <v>46210</v>
      </c>
      <c r="H153" s="4">
        <v>3871</v>
      </c>
      <c r="I153" s="4">
        <v>2629.2</v>
      </c>
      <c r="J153" s="4">
        <f>H153-I153</f>
        <v>1241.8000000000002</v>
      </c>
      <c r="K153" s="3">
        <v>46147</v>
      </c>
      <c r="L153">
        <f t="shared" si="2"/>
        <v>69</v>
      </c>
      <c r="M153" t="str">
        <f>IF(J153&lt;=0,"Paid",IF(L153=0,"Current",IF(L153&lt;=30,"1-30 Days",IF(L153&lt;=60,"31-60 Days",IF(L153&lt;=90,"61-90 Days","90+ Days")))))</f>
        <v>61-90 Days</v>
      </c>
      <c r="N153" t="s">
        <v>15</v>
      </c>
    </row>
    <row r="154" spans="1:14" hidden="1">
      <c r="A154" t="s">
        <v>357</v>
      </c>
      <c r="B154" t="s">
        <v>358</v>
      </c>
      <c r="C154" t="s">
        <v>27</v>
      </c>
      <c r="D154" t="s">
        <v>66</v>
      </c>
      <c r="E154">
        <v>2026</v>
      </c>
      <c r="F154" s="3">
        <v>46167</v>
      </c>
      <c r="G154" s="3">
        <v>46210</v>
      </c>
      <c r="H154" s="4">
        <v>4827</v>
      </c>
      <c r="I154" s="4">
        <v>3718.82</v>
      </c>
      <c r="J154" s="4">
        <f>H154-I154</f>
        <v>1108.1799999999998</v>
      </c>
      <c r="K154" s="3">
        <v>46147</v>
      </c>
      <c r="L154">
        <f t="shared" si="2"/>
        <v>69</v>
      </c>
      <c r="M154" t="str">
        <f>IF(J154&lt;=0,"Paid",IF(L154=0,"Current",IF(L154&lt;=30,"1-30 Days",IF(L154&lt;=60,"31-60 Days",IF(L154&lt;=90,"61-90 Days","90+ Days")))))</f>
        <v>61-90 Days</v>
      </c>
      <c r="N154" t="s">
        <v>17</v>
      </c>
    </row>
    <row r="155" spans="1:14" hidden="1">
      <c r="A155" t="s">
        <v>359</v>
      </c>
      <c r="B155" t="s">
        <v>244</v>
      </c>
      <c r="C155" t="s">
        <v>25</v>
      </c>
      <c r="D155" t="s">
        <v>66</v>
      </c>
      <c r="E155">
        <v>2026</v>
      </c>
      <c r="F155" s="3">
        <v>45889</v>
      </c>
      <c r="G155" s="3">
        <v>46210</v>
      </c>
      <c r="H155" s="4">
        <v>3958</v>
      </c>
      <c r="I155" s="4">
        <v>2871.5</v>
      </c>
      <c r="J155" s="4">
        <f>H155-I155</f>
        <v>1086.5</v>
      </c>
      <c r="K155" s="3">
        <v>46147</v>
      </c>
      <c r="L155">
        <f t="shared" si="2"/>
        <v>69</v>
      </c>
      <c r="M155" t="str">
        <f>IF(J155&lt;=0,"Paid",IF(L155=0,"Current",IF(L155&lt;=30,"1-30 Days",IF(L155&lt;=60,"31-60 Days",IF(L155&lt;=90,"61-90 Days","90+ Days")))))</f>
        <v>61-90 Days</v>
      </c>
      <c r="N155" t="s">
        <v>19</v>
      </c>
    </row>
    <row r="156" spans="1:14" hidden="1">
      <c r="A156" t="s">
        <v>360</v>
      </c>
      <c r="B156" t="s">
        <v>361</v>
      </c>
      <c r="C156" t="s">
        <v>27</v>
      </c>
      <c r="D156" t="s">
        <v>66</v>
      </c>
      <c r="E156">
        <v>2026</v>
      </c>
      <c r="F156" s="3">
        <v>45882</v>
      </c>
      <c r="G156" s="3">
        <v>46210</v>
      </c>
      <c r="H156" s="4">
        <v>4186</v>
      </c>
      <c r="I156" s="4">
        <v>3102.09</v>
      </c>
      <c r="J156" s="4">
        <f>H156-I156</f>
        <v>1083.9099999999999</v>
      </c>
      <c r="K156" s="3">
        <v>46147</v>
      </c>
      <c r="L156">
        <f t="shared" si="2"/>
        <v>69</v>
      </c>
      <c r="M156" t="str">
        <f>IF(J156&lt;=0,"Paid",IF(L156=0,"Current",IF(L156&lt;=30,"1-30 Days",IF(L156&lt;=60,"31-60 Days",IF(L156&lt;=90,"61-90 Days","90+ Days")))))</f>
        <v>61-90 Days</v>
      </c>
      <c r="N156" t="s">
        <v>15</v>
      </c>
    </row>
    <row r="157" spans="1:14" hidden="1">
      <c r="A157" t="s">
        <v>362</v>
      </c>
      <c r="B157" t="s">
        <v>363</v>
      </c>
      <c r="C157" t="s">
        <v>28</v>
      </c>
      <c r="D157" t="s">
        <v>66</v>
      </c>
      <c r="E157">
        <v>2026</v>
      </c>
      <c r="F157" s="3">
        <v>46048</v>
      </c>
      <c r="G157" s="3">
        <v>46210</v>
      </c>
      <c r="H157" s="4">
        <v>4047</v>
      </c>
      <c r="I157" s="4">
        <v>2987.46</v>
      </c>
      <c r="J157" s="4">
        <f>H157-I157</f>
        <v>1059.54</v>
      </c>
      <c r="K157" s="3">
        <v>46147</v>
      </c>
      <c r="L157">
        <f t="shared" si="2"/>
        <v>69</v>
      </c>
      <c r="M157" t="str">
        <f>IF(J157&lt;=0,"Paid",IF(L157=0,"Current",IF(L157&lt;=30,"1-30 Days",IF(L157&lt;=60,"31-60 Days",IF(L157&lt;=90,"61-90 Days","90+ Days")))))</f>
        <v>61-90 Days</v>
      </c>
      <c r="N157" t="s">
        <v>15</v>
      </c>
    </row>
    <row r="158" spans="1:14" hidden="1">
      <c r="A158" t="s">
        <v>364</v>
      </c>
      <c r="B158" t="s">
        <v>365</v>
      </c>
      <c r="C158" t="s">
        <v>27</v>
      </c>
      <c r="D158" t="s">
        <v>66</v>
      </c>
      <c r="E158">
        <v>2026</v>
      </c>
      <c r="F158" s="3">
        <v>45914</v>
      </c>
      <c r="G158" s="3">
        <v>46210</v>
      </c>
      <c r="H158" s="4">
        <v>4374</v>
      </c>
      <c r="I158" s="4">
        <v>3327.39</v>
      </c>
      <c r="J158" s="4">
        <f>H158-I158</f>
        <v>1046.6100000000001</v>
      </c>
      <c r="K158" s="3">
        <v>46147</v>
      </c>
      <c r="L158">
        <f t="shared" si="2"/>
        <v>69</v>
      </c>
      <c r="M158" t="str">
        <f>IF(J158&lt;=0,"Paid",IF(L158=0,"Current",IF(L158&lt;=30,"1-30 Days",IF(L158&lt;=60,"31-60 Days",IF(L158&lt;=90,"61-90 Days","90+ Days")))))</f>
        <v>61-90 Days</v>
      </c>
      <c r="N158" t="s">
        <v>17</v>
      </c>
    </row>
    <row r="159" spans="1:14" hidden="1">
      <c r="A159" t="s">
        <v>366</v>
      </c>
      <c r="B159" t="s">
        <v>367</v>
      </c>
      <c r="C159" t="s">
        <v>29</v>
      </c>
      <c r="D159" t="s">
        <v>66</v>
      </c>
      <c r="E159">
        <v>2026</v>
      </c>
      <c r="F159" s="3">
        <v>46023</v>
      </c>
      <c r="G159" s="3">
        <v>46210</v>
      </c>
      <c r="H159" s="4">
        <v>4158</v>
      </c>
      <c r="I159" s="4">
        <v>3131.33</v>
      </c>
      <c r="J159" s="4">
        <f>H159-I159</f>
        <v>1026.67</v>
      </c>
      <c r="K159" s="3">
        <v>46147</v>
      </c>
      <c r="L159">
        <f t="shared" si="2"/>
        <v>69</v>
      </c>
      <c r="M159" t="str">
        <f>IF(J159&lt;=0,"Paid",IF(L159=0,"Current",IF(L159&lt;=30,"1-30 Days",IF(L159&lt;=60,"31-60 Days",IF(L159&lt;=90,"61-90 Days","90+ Days")))))</f>
        <v>61-90 Days</v>
      </c>
      <c r="N159" t="s">
        <v>17</v>
      </c>
    </row>
    <row r="160" spans="1:14" hidden="1">
      <c r="A160" t="s">
        <v>368</v>
      </c>
      <c r="B160" t="s">
        <v>79</v>
      </c>
      <c r="C160" t="s">
        <v>25</v>
      </c>
      <c r="D160" t="s">
        <v>66</v>
      </c>
      <c r="E160">
        <v>2026</v>
      </c>
      <c r="F160" s="3">
        <v>45895</v>
      </c>
      <c r="G160" s="3">
        <v>46210</v>
      </c>
      <c r="H160" s="4">
        <v>4195</v>
      </c>
      <c r="I160" s="4">
        <v>3205.32</v>
      </c>
      <c r="J160" s="4">
        <f>H160-I160</f>
        <v>989.67999999999984</v>
      </c>
      <c r="K160" s="3">
        <v>46147</v>
      </c>
      <c r="L160">
        <f t="shared" si="2"/>
        <v>69</v>
      </c>
      <c r="M160" t="str">
        <f>IF(J160&lt;=0,"Paid",IF(L160=0,"Current",IF(L160&lt;=30,"1-30 Days",IF(L160&lt;=60,"31-60 Days",IF(L160&lt;=90,"61-90 Days","90+ Days")))))</f>
        <v>61-90 Days</v>
      </c>
      <c r="N160" t="s">
        <v>17</v>
      </c>
    </row>
    <row r="161" spans="1:14" hidden="1">
      <c r="A161" t="s">
        <v>369</v>
      </c>
      <c r="B161" t="s">
        <v>370</v>
      </c>
      <c r="C161" t="s">
        <v>26</v>
      </c>
      <c r="D161" t="s">
        <v>66</v>
      </c>
      <c r="E161">
        <v>2026</v>
      </c>
      <c r="F161" s="3">
        <v>46021</v>
      </c>
      <c r="G161" s="3">
        <v>46210</v>
      </c>
      <c r="H161" s="4">
        <v>5258</v>
      </c>
      <c r="I161" s="4">
        <v>4305.49</v>
      </c>
      <c r="J161" s="4">
        <f>H161-I161</f>
        <v>952.51000000000022</v>
      </c>
      <c r="K161" s="3">
        <v>46147</v>
      </c>
      <c r="L161">
        <f t="shared" si="2"/>
        <v>69</v>
      </c>
      <c r="M161" t="str">
        <f>IF(J161&lt;=0,"Paid",IF(L161=0,"Current",IF(L161&lt;=30,"1-30 Days",IF(L161&lt;=60,"31-60 Days",IF(L161&lt;=90,"61-90 Days","90+ Days")))))</f>
        <v>61-90 Days</v>
      </c>
      <c r="N161" t="s">
        <v>17</v>
      </c>
    </row>
    <row r="162" spans="1:14" hidden="1">
      <c r="A162" t="s">
        <v>371</v>
      </c>
      <c r="B162" t="s">
        <v>372</v>
      </c>
      <c r="C162" t="s">
        <v>26</v>
      </c>
      <c r="D162" t="s">
        <v>66</v>
      </c>
      <c r="E162">
        <v>2026</v>
      </c>
      <c r="F162" s="3">
        <v>46028</v>
      </c>
      <c r="G162" s="3">
        <v>46210</v>
      </c>
      <c r="H162" s="4">
        <v>5102</v>
      </c>
      <c r="I162" s="4">
        <v>4151.03</v>
      </c>
      <c r="J162" s="4">
        <f>H162-I162</f>
        <v>950.97000000000025</v>
      </c>
      <c r="K162" s="3">
        <v>46147</v>
      </c>
      <c r="L162">
        <f t="shared" si="2"/>
        <v>69</v>
      </c>
      <c r="M162" t="str">
        <f>IF(J162&lt;=0,"Paid",IF(L162=0,"Current",IF(L162&lt;=30,"1-30 Days",IF(L162&lt;=60,"31-60 Days",IF(L162&lt;=90,"61-90 Days","90+ Days")))))</f>
        <v>61-90 Days</v>
      </c>
      <c r="N162" t="s">
        <v>17</v>
      </c>
    </row>
    <row r="163" spans="1:14" hidden="1">
      <c r="A163" t="s">
        <v>373</v>
      </c>
      <c r="B163" t="s">
        <v>374</v>
      </c>
      <c r="C163" t="s">
        <v>27</v>
      </c>
      <c r="D163" t="s">
        <v>66</v>
      </c>
      <c r="E163">
        <v>2026</v>
      </c>
      <c r="F163" s="3">
        <v>45897</v>
      </c>
      <c r="G163" s="3">
        <v>46210</v>
      </c>
      <c r="H163" s="4">
        <v>4366</v>
      </c>
      <c r="I163" s="4">
        <v>3468.27</v>
      </c>
      <c r="J163" s="4">
        <f>H163-I163</f>
        <v>897.73</v>
      </c>
      <c r="K163" s="3">
        <v>46147</v>
      </c>
      <c r="L163">
        <f t="shared" si="2"/>
        <v>69</v>
      </c>
      <c r="M163" t="str">
        <f>IF(J163&lt;=0,"Paid",IF(L163=0,"Current",IF(L163&lt;=30,"1-30 Days",IF(L163&lt;=60,"31-60 Days",IF(L163&lt;=90,"61-90 Days","90+ Days")))))</f>
        <v>61-90 Days</v>
      </c>
      <c r="N163" t="s">
        <v>15</v>
      </c>
    </row>
    <row r="164" spans="1:14" hidden="1">
      <c r="A164" t="s">
        <v>375</v>
      </c>
      <c r="B164" t="s">
        <v>376</v>
      </c>
      <c r="C164" t="s">
        <v>28</v>
      </c>
      <c r="D164" t="s">
        <v>66</v>
      </c>
      <c r="E164">
        <v>2026</v>
      </c>
      <c r="F164" s="3">
        <v>46176</v>
      </c>
      <c r="G164" s="3">
        <v>46210</v>
      </c>
      <c r="H164" s="4">
        <v>4351</v>
      </c>
      <c r="I164" s="4">
        <v>3465.37</v>
      </c>
      <c r="J164" s="4">
        <f>H164-I164</f>
        <v>885.63000000000011</v>
      </c>
      <c r="K164" s="3">
        <v>46147</v>
      </c>
      <c r="L164">
        <f t="shared" si="2"/>
        <v>69</v>
      </c>
      <c r="M164" t="str">
        <f>IF(J164&lt;=0,"Paid",IF(L164=0,"Current",IF(L164&lt;=30,"1-30 Days",IF(L164&lt;=60,"31-60 Days",IF(L164&lt;=90,"61-90 Days","90+ Days")))))</f>
        <v>61-90 Days</v>
      </c>
      <c r="N164" t="s">
        <v>15</v>
      </c>
    </row>
    <row r="165" spans="1:14" hidden="1">
      <c r="A165" t="s">
        <v>377</v>
      </c>
      <c r="B165" t="s">
        <v>378</v>
      </c>
      <c r="C165" t="s">
        <v>28</v>
      </c>
      <c r="D165" t="s">
        <v>66</v>
      </c>
      <c r="E165">
        <v>2026</v>
      </c>
      <c r="F165" s="3">
        <v>45886</v>
      </c>
      <c r="G165" s="3">
        <v>46210</v>
      </c>
      <c r="H165" s="4">
        <v>4274</v>
      </c>
      <c r="I165" s="4">
        <v>3428.43</v>
      </c>
      <c r="J165" s="4">
        <f>H165-I165</f>
        <v>845.57000000000016</v>
      </c>
      <c r="K165" s="3">
        <v>46147</v>
      </c>
      <c r="L165">
        <f t="shared" si="2"/>
        <v>69</v>
      </c>
      <c r="M165" t="str">
        <f>IF(J165&lt;=0,"Paid",IF(L165=0,"Current",IF(L165&lt;=30,"1-30 Days",IF(L165&lt;=60,"31-60 Days",IF(L165&lt;=90,"61-90 Days","90+ Days")))))</f>
        <v>61-90 Days</v>
      </c>
      <c r="N165" t="s">
        <v>17</v>
      </c>
    </row>
    <row r="166" spans="1:14" hidden="1">
      <c r="A166" t="s">
        <v>379</v>
      </c>
      <c r="B166" t="s">
        <v>380</v>
      </c>
      <c r="C166" t="s">
        <v>25</v>
      </c>
      <c r="D166" t="s">
        <v>66</v>
      </c>
      <c r="E166">
        <v>2026</v>
      </c>
      <c r="F166" s="3">
        <v>46024</v>
      </c>
      <c r="G166" s="3">
        <v>46210</v>
      </c>
      <c r="H166" s="4">
        <v>4225</v>
      </c>
      <c r="I166" s="4">
        <v>3458.76</v>
      </c>
      <c r="J166" s="4">
        <f>H166-I166</f>
        <v>766.23999999999978</v>
      </c>
      <c r="K166" s="3">
        <v>46147</v>
      </c>
      <c r="L166">
        <f t="shared" si="2"/>
        <v>69</v>
      </c>
      <c r="M166" t="str">
        <f>IF(J166&lt;=0,"Paid",IF(L166=0,"Current",IF(L166&lt;=30,"1-30 Days",IF(L166&lt;=60,"31-60 Days",IF(L166&lt;=90,"61-90 Days","90+ Days")))))</f>
        <v>61-90 Days</v>
      </c>
      <c r="N166" t="s">
        <v>17</v>
      </c>
    </row>
    <row r="167" spans="1:14" hidden="1">
      <c r="A167" t="s">
        <v>381</v>
      </c>
      <c r="B167" t="s">
        <v>382</v>
      </c>
      <c r="C167" t="s">
        <v>26</v>
      </c>
      <c r="D167" t="s">
        <v>66</v>
      </c>
      <c r="E167">
        <v>2026</v>
      </c>
      <c r="F167" s="3">
        <v>46157</v>
      </c>
      <c r="G167" s="3">
        <v>46210</v>
      </c>
      <c r="H167" s="4">
        <v>5142</v>
      </c>
      <c r="I167" s="4">
        <v>4396</v>
      </c>
      <c r="J167" s="4">
        <f>H167-I167</f>
        <v>746</v>
      </c>
      <c r="K167" s="3">
        <v>46147</v>
      </c>
      <c r="L167">
        <f t="shared" si="2"/>
        <v>69</v>
      </c>
      <c r="M167" t="str">
        <f>IF(J167&lt;=0,"Paid",IF(L167=0,"Current",IF(L167&lt;=30,"1-30 Days",IF(L167&lt;=60,"31-60 Days",IF(L167&lt;=90,"61-90 Days","90+ Days")))))</f>
        <v>61-90 Days</v>
      </c>
      <c r="N167" t="s">
        <v>17</v>
      </c>
    </row>
    <row r="168" spans="1:14" hidden="1">
      <c r="A168" t="s">
        <v>383</v>
      </c>
      <c r="B168" t="s">
        <v>384</v>
      </c>
      <c r="C168" t="s">
        <v>25</v>
      </c>
      <c r="D168" t="s">
        <v>66</v>
      </c>
      <c r="E168">
        <v>2026</v>
      </c>
      <c r="F168" s="3">
        <v>46048</v>
      </c>
      <c r="G168" s="3">
        <v>46210</v>
      </c>
      <c r="H168" s="4">
        <v>3954</v>
      </c>
      <c r="I168" s="4">
        <v>3227.87</v>
      </c>
      <c r="J168" s="4">
        <f>H168-I168</f>
        <v>726.13000000000011</v>
      </c>
      <c r="K168" s="3">
        <v>46147</v>
      </c>
      <c r="L168">
        <f t="shared" si="2"/>
        <v>69</v>
      </c>
      <c r="M168" t="str">
        <f>IF(J168&lt;=0,"Paid",IF(L168=0,"Current",IF(L168&lt;=30,"1-30 Days",IF(L168&lt;=60,"31-60 Days",IF(L168&lt;=90,"61-90 Days","90+ Days")))))</f>
        <v>61-90 Days</v>
      </c>
      <c r="N168" t="s">
        <v>15</v>
      </c>
    </row>
    <row r="169" spans="1:14" hidden="1">
      <c r="A169" t="s">
        <v>385</v>
      </c>
      <c r="B169" t="s">
        <v>121</v>
      </c>
      <c r="C169" t="s">
        <v>28</v>
      </c>
      <c r="D169" t="s">
        <v>66</v>
      </c>
      <c r="E169">
        <v>2026</v>
      </c>
      <c r="F169" s="3">
        <v>45914</v>
      </c>
      <c r="G169" s="3">
        <v>46210</v>
      </c>
      <c r="H169" s="4">
        <v>4151</v>
      </c>
      <c r="I169" s="4">
        <v>3426.08</v>
      </c>
      <c r="J169" s="4">
        <f>H169-I169</f>
        <v>724.92000000000007</v>
      </c>
      <c r="K169" s="3">
        <v>46147</v>
      </c>
      <c r="L169">
        <f t="shared" si="2"/>
        <v>69</v>
      </c>
      <c r="M169" t="str">
        <f>IF(J169&lt;=0,"Paid",IF(L169=0,"Current",IF(L169&lt;=30,"1-30 Days",IF(L169&lt;=60,"31-60 Days",IF(L169&lt;=90,"61-90 Days","90+ Days")))))</f>
        <v>61-90 Days</v>
      </c>
      <c r="N169" t="s">
        <v>15</v>
      </c>
    </row>
    <row r="170" spans="1:14" hidden="1">
      <c r="A170" t="s">
        <v>386</v>
      </c>
      <c r="B170" t="s">
        <v>387</v>
      </c>
      <c r="C170" t="s">
        <v>27</v>
      </c>
      <c r="D170" t="s">
        <v>66</v>
      </c>
      <c r="E170">
        <v>2026</v>
      </c>
      <c r="F170" s="3">
        <v>46055</v>
      </c>
      <c r="G170" s="3">
        <v>46210</v>
      </c>
      <c r="H170" s="4">
        <v>4659</v>
      </c>
      <c r="I170" s="4">
        <v>3935.88</v>
      </c>
      <c r="J170" s="4">
        <f>H170-I170</f>
        <v>723.11999999999989</v>
      </c>
      <c r="K170" s="3">
        <v>46147</v>
      </c>
      <c r="L170">
        <f t="shared" si="2"/>
        <v>69</v>
      </c>
      <c r="M170" t="str">
        <f>IF(J170&lt;=0,"Paid",IF(L170=0,"Current",IF(L170&lt;=30,"1-30 Days",IF(L170&lt;=60,"31-60 Days",IF(L170&lt;=90,"61-90 Days","90+ Days")))))</f>
        <v>61-90 Days</v>
      </c>
      <c r="N170" t="s">
        <v>15</v>
      </c>
    </row>
    <row r="171" spans="1:14" hidden="1">
      <c r="A171" t="s">
        <v>388</v>
      </c>
      <c r="B171" t="s">
        <v>389</v>
      </c>
      <c r="C171" t="s">
        <v>25</v>
      </c>
      <c r="D171" t="s">
        <v>66</v>
      </c>
      <c r="E171">
        <v>2026</v>
      </c>
      <c r="F171" s="3">
        <v>46147</v>
      </c>
      <c r="G171" s="3">
        <v>46210</v>
      </c>
      <c r="H171" s="4">
        <v>3949</v>
      </c>
      <c r="I171" s="4">
        <v>3228.07</v>
      </c>
      <c r="J171" s="4">
        <f>H171-I171</f>
        <v>720.92999999999984</v>
      </c>
      <c r="K171" s="3">
        <v>46147</v>
      </c>
      <c r="L171">
        <f t="shared" si="2"/>
        <v>69</v>
      </c>
      <c r="M171" t="str">
        <f>IF(J171&lt;=0,"Paid",IF(L171=0,"Current",IF(L171&lt;=30,"1-30 Days",IF(L171&lt;=60,"31-60 Days",IF(L171&lt;=90,"61-90 Days","90+ Days")))))</f>
        <v>61-90 Days</v>
      </c>
      <c r="N171" t="s">
        <v>17</v>
      </c>
    </row>
    <row r="172" spans="1:14" hidden="1">
      <c r="A172" t="s">
        <v>390</v>
      </c>
      <c r="B172" t="s">
        <v>391</v>
      </c>
      <c r="C172" t="s">
        <v>29</v>
      </c>
      <c r="D172" t="s">
        <v>66</v>
      </c>
      <c r="E172">
        <v>2026</v>
      </c>
      <c r="F172" s="3">
        <v>45891</v>
      </c>
      <c r="G172" s="3">
        <v>46210</v>
      </c>
      <c r="H172" s="4">
        <v>3933</v>
      </c>
      <c r="I172" s="4">
        <v>3307.4</v>
      </c>
      <c r="J172" s="4">
        <f>H172-I172</f>
        <v>625.59999999999991</v>
      </c>
      <c r="K172" s="3">
        <v>46147</v>
      </c>
      <c r="L172">
        <f t="shared" si="2"/>
        <v>69</v>
      </c>
      <c r="M172" t="str">
        <f>IF(J172&lt;=0,"Paid",IF(L172=0,"Current",IF(L172&lt;=30,"1-30 Days",IF(L172&lt;=60,"31-60 Days",IF(L172&lt;=90,"61-90 Days","90+ Days")))))</f>
        <v>61-90 Days</v>
      </c>
      <c r="N172" t="s">
        <v>15</v>
      </c>
    </row>
    <row r="173" spans="1:14" hidden="1">
      <c r="A173" t="s">
        <v>392</v>
      </c>
      <c r="B173" t="s">
        <v>393</v>
      </c>
      <c r="C173" t="s">
        <v>29</v>
      </c>
      <c r="D173" t="s">
        <v>66</v>
      </c>
      <c r="E173">
        <v>2026</v>
      </c>
      <c r="F173" s="3">
        <v>45907</v>
      </c>
      <c r="G173" s="3">
        <v>46210</v>
      </c>
      <c r="H173" s="4">
        <v>4043</v>
      </c>
      <c r="I173" s="4">
        <v>3432.97</v>
      </c>
      <c r="J173" s="4">
        <f>H173-I173</f>
        <v>610.0300000000002</v>
      </c>
      <c r="K173" s="3">
        <v>46147</v>
      </c>
      <c r="L173">
        <f t="shared" si="2"/>
        <v>69</v>
      </c>
      <c r="M173" t="str">
        <f>IF(J173&lt;=0,"Paid",IF(L173=0,"Current",IF(L173&lt;=30,"1-30 Days",IF(L173&lt;=60,"31-60 Days",IF(L173&lt;=90,"61-90 Days","90+ Days")))))</f>
        <v>61-90 Days</v>
      </c>
      <c r="N173" t="s">
        <v>19</v>
      </c>
    </row>
    <row r="174" spans="1:14" hidden="1">
      <c r="A174" t="s">
        <v>394</v>
      </c>
      <c r="B174" t="s">
        <v>395</v>
      </c>
      <c r="C174" t="s">
        <v>29</v>
      </c>
      <c r="D174" t="s">
        <v>66</v>
      </c>
      <c r="E174">
        <v>2026</v>
      </c>
      <c r="F174" s="3">
        <v>46054</v>
      </c>
      <c r="G174" s="3">
        <v>46210</v>
      </c>
      <c r="H174" s="4">
        <v>3780</v>
      </c>
      <c r="I174" s="4">
        <v>3500</v>
      </c>
      <c r="J174" s="4">
        <f>H174-I174</f>
        <v>280</v>
      </c>
      <c r="K174" s="3">
        <v>46147</v>
      </c>
      <c r="L174">
        <f t="shared" si="2"/>
        <v>69</v>
      </c>
      <c r="M174" t="str">
        <f>IF(J174&lt;=0,"Paid",IF(L174=0,"Current",IF(L174&lt;=30,"1-30 Days",IF(L174&lt;=60,"31-60 Days",IF(L174&lt;=90,"61-90 Days","90+ Days")))))</f>
        <v>61-90 Days</v>
      </c>
      <c r="N174" t="s">
        <v>19</v>
      </c>
    </row>
    <row r="175" spans="1:14">
      <c r="A175" t="s">
        <v>396</v>
      </c>
      <c r="B175" t="s">
        <v>397</v>
      </c>
      <c r="C175" t="s">
        <v>25</v>
      </c>
      <c r="D175" t="s">
        <v>66</v>
      </c>
      <c r="E175">
        <v>2026</v>
      </c>
      <c r="F175" s="3">
        <v>45892</v>
      </c>
      <c r="G175" s="3">
        <v>46210</v>
      </c>
      <c r="H175" s="4">
        <v>3862</v>
      </c>
      <c r="I175" s="4">
        <v>3862</v>
      </c>
      <c r="J175" s="4">
        <f>H175-I175</f>
        <v>0</v>
      </c>
      <c r="K175" s="3">
        <v>46210</v>
      </c>
      <c r="L175">
        <f t="shared" si="2"/>
        <v>0</v>
      </c>
      <c r="M175" t="str">
        <f>IF(J175&lt;=0,"Paid",IF(L175=0,"Current",IF(L175&lt;=30,"1-30 Days",IF(L175&lt;=60,"31-60 Days",IF(L175&lt;=90,"61-90 Days","90+ Days")))))</f>
        <v>Paid</v>
      </c>
      <c r="N175" t="s">
        <v>17</v>
      </c>
    </row>
    <row r="176" spans="1:14">
      <c r="A176" t="s">
        <v>398</v>
      </c>
      <c r="B176" t="s">
        <v>399</v>
      </c>
      <c r="C176" t="s">
        <v>25</v>
      </c>
      <c r="D176" t="s">
        <v>66</v>
      </c>
      <c r="E176">
        <v>2026</v>
      </c>
      <c r="F176" s="3">
        <v>46052</v>
      </c>
      <c r="G176" s="3">
        <v>46210</v>
      </c>
      <c r="H176" s="4">
        <v>3962</v>
      </c>
      <c r="I176" s="4">
        <v>3962</v>
      </c>
      <c r="J176" s="4">
        <f>H176-I176</f>
        <v>0</v>
      </c>
      <c r="K176" s="3">
        <v>46210</v>
      </c>
      <c r="L176">
        <f t="shared" si="2"/>
        <v>0</v>
      </c>
      <c r="M176" t="str">
        <f>IF(J176&lt;=0,"Paid",IF(L176=0,"Current",IF(L176&lt;=30,"1-30 Days",IF(L176&lt;=60,"31-60 Days",IF(L176&lt;=90,"61-90 Days","90+ Days")))))</f>
        <v>Paid</v>
      </c>
      <c r="N176" t="s">
        <v>17</v>
      </c>
    </row>
    <row r="177" spans="1:14">
      <c r="A177" t="s">
        <v>400</v>
      </c>
      <c r="B177" t="s">
        <v>401</v>
      </c>
      <c r="C177" t="s">
        <v>28</v>
      </c>
      <c r="D177" t="s">
        <v>66</v>
      </c>
      <c r="E177">
        <v>2026</v>
      </c>
      <c r="F177" s="3">
        <v>46041</v>
      </c>
      <c r="G177" s="3">
        <v>46210</v>
      </c>
      <c r="H177" s="4">
        <v>3862</v>
      </c>
      <c r="I177" s="4">
        <v>3862</v>
      </c>
      <c r="J177" s="4">
        <f>H177-I177</f>
        <v>0</v>
      </c>
      <c r="K177" s="3">
        <v>46210</v>
      </c>
      <c r="L177">
        <f t="shared" si="2"/>
        <v>0</v>
      </c>
      <c r="M177" t="str">
        <f>IF(J177&lt;=0,"Paid",IF(L177=0,"Current",IF(L177&lt;=30,"1-30 Days",IF(L177&lt;=60,"31-60 Days",IF(L177&lt;=90,"61-90 Days","90+ Days")))))</f>
        <v>Paid</v>
      </c>
      <c r="N177" t="s">
        <v>17</v>
      </c>
    </row>
    <row r="178" spans="1:14">
      <c r="A178" t="s">
        <v>402</v>
      </c>
      <c r="B178" t="s">
        <v>403</v>
      </c>
      <c r="C178" t="s">
        <v>29</v>
      </c>
      <c r="D178" t="s">
        <v>66</v>
      </c>
      <c r="E178">
        <v>2026</v>
      </c>
      <c r="F178" s="3">
        <v>46153</v>
      </c>
      <c r="G178" s="3">
        <v>46210</v>
      </c>
      <c r="H178" s="4">
        <v>3815</v>
      </c>
      <c r="I178" s="4">
        <v>3815</v>
      </c>
      <c r="J178" s="4">
        <f>H178-I178</f>
        <v>0</v>
      </c>
      <c r="K178" s="3">
        <v>46210</v>
      </c>
      <c r="L178">
        <f t="shared" si="2"/>
        <v>0</v>
      </c>
      <c r="M178" t="str">
        <f>IF(J178&lt;=0,"Paid",IF(L178=0,"Current",IF(L178&lt;=30,"1-30 Days",IF(L178&lt;=60,"31-60 Days",IF(L178&lt;=90,"61-90 Days","90+ Days")))))</f>
        <v>Paid</v>
      </c>
      <c r="N178" t="s">
        <v>17</v>
      </c>
    </row>
    <row r="179" spans="1:14">
      <c r="A179" t="s">
        <v>404</v>
      </c>
      <c r="B179" t="s">
        <v>405</v>
      </c>
      <c r="C179" t="s">
        <v>29</v>
      </c>
      <c r="D179" t="s">
        <v>66</v>
      </c>
      <c r="E179">
        <v>2026</v>
      </c>
      <c r="F179" s="3">
        <v>46021</v>
      </c>
      <c r="G179" s="3">
        <v>46210</v>
      </c>
      <c r="H179" s="4">
        <v>4300</v>
      </c>
      <c r="I179" s="4">
        <v>2866</v>
      </c>
      <c r="J179" s="4">
        <f>H179-I179</f>
        <v>1434</v>
      </c>
      <c r="K179" s="3">
        <v>46210</v>
      </c>
      <c r="L179">
        <f t="shared" si="2"/>
        <v>6</v>
      </c>
      <c r="M179" t="str">
        <f>IF(J179&lt;=0,"Paid",IF(L179=0,"Current",IF(L179&lt;=30,"1-30 Days",IF(L179&lt;=60,"31-60 Days",IF(L179&lt;=90,"61-90 Days","90+ Days")))))</f>
        <v>1-30 Days</v>
      </c>
      <c r="N179" t="s">
        <v>17</v>
      </c>
    </row>
    <row r="180" spans="1:14">
      <c r="A180" t="s">
        <v>406</v>
      </c>
      <c r="B180" t="s">
        <v>407</v>
      </c>
      <c r="C180" t="s">
        <v>27</v>
      </c>
      <c r="D180" t="s">
        <v>66</v>
      </c>
      <c r="E180">
        <v>2026</v>
      </c>
      <c r="F180" s="3">
        <v>46171</v>
      </c>
      <c r="G180" s="3">
        <v>46210</v>
      </c>
      <c r="H180" s="4">
        <v>4938</v>
      </c>
      <c r="I180" s="4">
        <v>4938</v>
      </c>
      <c r="J180" s="4">
        <f>H180-I180</f>
        <v>0</v>
      </c>
      <c r="K180" s="3">
        <v>46210</v>
      </c>
      <c r="L180">
        <f t="shared" si="2"/>
        <v>0</v>
      </c>
      <c r="M180" t="str">
        <f>IF(J180&lt;=0,"Paid",IF(L180=0,"Current",IF(L180&lt;=30,"1-30 Days",IF(L180&lt;=60,"31-60 Days",IF(L180&lt;=90,"61-90 Days","90+ Days")))))</f>
        <v>Paid</v>
      </c>
      <c r="N180" t="s">
        <v>17</v>
      </c>
    </row>
    <row r="181" spans="1:14">
      <c r="A181" t="s">
        <v>408</v>
      </c>
      <c r="B181" t="s">
        <v>409</v>
      </c>
      <c r="C181" t="s">
        <v>29</v>
      </c>
      <c r="D181" t="s">
        <v>66</v>
      </c>
      <c r="E181">
        <v>2026</v>
      </c>
      <c r="F181" s="3">
        <v>45890</v>
      </c>
      <c r="G181" s="3">
        <v>46210</v>
      </c>
      <c r="H181" s="4">
        <v>3705</v>
      </c>
      <c r="I181" s="4">
        <v>3705</v>
      </c>
      <c r="J181" s="4">
        <f>H181-I181</f>
        <v>0</v>
      </c>
      <c r="K181" s="3">
        <v>46210</v>
      </c>
      <c r="L181">
        <f t="shared" si="2"/>
        <v>0</v>
      </c>
      <c r="M181" t="str">
        <f>IF(J181&lt;=0,"Paid",IF(L181=0,"Current",IF(L181&lt;=30,"1-30 Days",IF(L181&lt;=60,"31-60 Days",IF(L181&lt;=90,"61-90 Days","90+ Days")))))</f>
        <v>Paid</v>
      </c>
      <c r="N181" t="s">
        <v>17</v>
      </c>
    </row>
    <row r="182" spans="1:14">
      <c r="A182" t="s">
        <v>410</v>
      </c>
      <c r="B182" t="s">
        <v>411</v>
      </c>
      <c r="C182" t="s">
        <v>25</v>
      </c>
      <c r="D182" t="s">
        <v>66</v>
      </c>
      <c r="E182">
        <v>2026</v>
      </c>
      <c r="F182" s="3">
        <v>46148</v>
      </c>
      <c r="G182" s="3">
        <v>46210</v>
      </c>
      <c r="H182" s="4">
        <v>4041</v>
      </c>
      <c r="I182" s="4">
        <v>4041</v>
      </c>
      <c r="J182" s="4">
        <f>H182-I182</f>
        <v>0</v>
      </c>
      <c r="K182" s="3">
        <v>46210</v>
      </c>
      <c r="L182">
        <f t="shared" si="2"/>
        <v>0</v>
      </c>
      <c r="M182" t="str">
        <f>IF(J182&lt;=0,"Paid",IF(L182=0,"Current",IF(L182&lt;=30,"1-30 Days",IF(L182&lt;=60,"31-60 Days",IF(L182&lt;=90,"61-90 Days","90+ Days")))))</f>
        <v>Paid</v>
      </c>
      <c r="N182" t="s">
        <v>17</v>
      </c>
    </row>
    <row r="183" spans="1:14">
      <c r="A183" t="s">
        <v>412</v>
      </c>
      <c r="B183" t="s">
        <v>413</v>
      </c>
      <c r="C183" t="s">
        <v>25</v>
      </c>
      <c r="D183" t="s">
        <v>66</v>
      </c>
      <c r="E183">
        <v>2026</v>
      </c>
      <c r="F183" s="3">
        <v>46020</v>
      </c>
      <c r="G183" s="3">
        <v>46210</v>
      </c>
      <c r="H183" s="4">
        <v>4296</v>
      </c>
      <c r="I183" s="4">
        <v>4296</v>
      </c>
      <c r="J183" s="4">
        <f>H183-I183</f>
        <v>0</v>
      </c>
      <c r="K183" s="3">
        <v>46210</v>
      </c>
      <c r="L183">
        <f t="shared" si="2"/>
        <v>0</v>
      </c>
      <c r="M183" t="str">
        <f>IF(J183&lt;=0,"Paid",IF(L183=0,"Current",IF(L183&lt;=30,"1-30 Days",IF(L183&lt;=60,"31-60 Days",IF(L183&lt;=90,"61-90 Days","90+ Days")))))</f>
        <v>Paid</v>
      </c>
      <c r="N183" t="s">
        <v>17</v>
      </c>
    </row>
    <row r="184" spans="1:14">
      <c r="A184" t="s">
        <v>414</v>
      </c>
      <c r="B184" t="s">
        <v>415</v>
      </c>
      <c r="C184" t="s">
        <v>28</v>
      </c>
      <c r="D184" t="s">
        <v>66</v>
      </c>
      <c r="E184">
        <v>2026</v>
      </c>
      <c r="F184" s="3">
        <v>46146</v>
      </c>
      <c r="G184" s="3">
        <v>46210</v>
      </c>
      <c r="H184" s="4">
        <v>3879</v>
      </c>
      <c r="I184" s="4">
        <v>3879</v>
      </c>
      <c r="J184" s="4">
        <f>H184-I184</f>
        <v>0</v>
      </c>
      <c r="K184" s="3">
        <v>46210</v>
      </c>
      <c r="L184">
        <f t="shared" si="2"/>
        <v>0</v>
      </c>
      <c r="M184" t="str">
        <f>IF(J184&lt;=0,"Paid",IF(L184=0,"Current",IF(L184&lt;=30,"1-30 Days",IF(L184&lt;=60,"31-60 Days",IF(L184&lt;=90,"61-90 Days","90+ Days")))))</f>
        <v>Paid</v>
      </c>
      <c r="N184" t="s">
        <v>17</v>
      </c>
    </row>
    <row r="185" spans="1:14">
      <c r="A185" t="s">
        <v>416</v>
      </c>
      <c r="B185" t="s">
        <v>417</v>
      </c>
      <c r="C185" t="s">
        <v>25</v>
      </c>
      <c r="D185" t="s">
        <v>66</v>
      </c>
      <c r="E185">
        <v>2026</v>
      </c>
      <c r="F185" s="3">
        <v>45881</v>
      </c>
      <c r="G185" s="3">
        <v>46210</v>
      </c>
      <c r="H185" s="4">
        <v>4077</v>
      </c>
      <c r="I185" s="4">
        <v>4077</v>
      </c>
      <c r="J185" s="4">
        <f>H185-I185</f>
        <v>0</v>
      </c>
      <c r="K185" s="3">
        <v>46210</v>
      </c>
      <c r="L185">
        <f t="shared" si="2"/>
        <v>0</v>
      </c>
      <c r="M185" t="str">
        <f>IF(J185&lt;=0,"Paid",IF(L185=0,"Current",IF(L185&lt;=30,"1-30 Days",IF(L185&lt;=60,"31-60 Days",IF(L185&lt;=90,"61-90 Days","90+ Days")))))</f>
        <v>Paid</v>
      </c>
      <c r="N185" t="s">
        <v>17</v>
      </c>
    </row>
    <row r="186" spans="1:14">
      <c r="A186" t="s">
        <v>418</v>
      </c>
      <c r="B186" t="s">
        <v>419</v>
      </c>
      <c r="C186" t="s">
        <v>26</v>
      </c>
      <c r="D186" t="s">
        <v>66</v>
      </c>
      <c r="E186">
        <v>2026</v>
      </c>
      <c r="F186" s="3">
        <v>46154</v>
      </c>
      <c r="G186" s="3">
        <v>46210</v>
      </c>
      <c r="H186" s="4">
        <v>5290</v>
      </c>
      <c r="I186" s="4">
        <v>5290</v>
      </c>
      <c r="J186" s="4">
        <v>3000</v>
      </c>
      <c r="K186" s="3">
        <v>46210</v>
      </c>
      <c r="L186">
        <f t="shared" si="2"/>
        <v>6</v>
      </c>
      <c r="M186" t="str">
        <f>IF(J186&lt;=0,"Paid",IF(L186=0,"Current",IF(L186&lt;=30,"1-30 Days",IF(L186&lt;=60,"31-60 Days",IF(L186&lt;=90,"61-90 Days","90+ Days")))))</f>
        <v>1-30 Days</v>
      </c>
      <c r="N186" t="s">
        <v>17</v>
      </c>
    </row>
    <row r="187" spans="1:14">
      <c r="A187" t="s">
        <v>420</v>
      </c>
      <c r="B187" t="s">
        <v>421</v>
      </c>
      <c r="C187" t="s">
        <v>28</v>
      </c>
      <c r="D187" t="s">
        <v>66</v>
      </c>
      <c r="E187">
        <v>2026</v>
      </c>
      <c r="F187" s="3">
        <v>46156</v>
      </c>
      <c r="G187" s="3">
        <v>46210</v>
      </c>
      <c r="H187" s="4">
        <v>3993</v>
      </c>
      <c r="I187" s="4">
        <v>3993</v>
      </c>
      <c r="J187" s="4">
        <f>H187-I187</f>
        <v>0</v>
      </c>
      <c r="K187" s="3">
        <v>46210</v>
      </c>
      <c r="L187">
        <f t="shared" si="2"/>
        <v>0</v>
      </c>
      <c r="M187" t="str">
        <f>IF(J187&lt;=0,"Paid",IF(L187=0,"Current",IF(L187&lt;=30,"1-30 Days",IF(L187&lt;=60,"31-60 Days",IF(L187&lt;=90,"61-90 Days","90+ Days")))))</f>
        <v>Paid</v>
      </c>
      <c r="N187" t="s">
        <v>17</v>
      </c>
    </row>
    <row r="188" spans="1:14">
      <c r="A188" t="s">
        <v>422</v>
      </c>
      <c r="B188" t="s">
        <v>423</v>
      </c>
      <c r="C188" t="s">
        <v>26</v>
      </c>
      <c r="D188" t="s">
        <v>66</v>
      </c>
      <c r="E188">
        <v>2026</v>
      </c>
      <c r="F188" s="3">
        <v>45904</v>
      </c>
      <c r="G188" s="3">
        <v>46210</v>
      </c>
      <c r="H188" s="4">
        <v>5100</v>
      </c>
      <c r="I188" s="4">
        <v>5100</v>
      </c>
      <c r="J188" s="4">
        <f>H188-I188</f>
        <v>0</v>
      </c>
      <c r="K188" s="3">
        <v>46210</v>
      </c>
      <c r="L188">
        <f t="shared" si="2"/>
        <v>0</v>
      </c>
      <c r="M188" t="str">
        <f>IF(J188&lt;=0,"Paid",IF(L188=0,"Current",IF(L188&lt;=30,"1-30 Days",IF(L188&lt;=60,"31-60 Days",IF(L188&lt;=90,"61-90 Days","90+ Days")))))</f>
        <v>Paid</v>
      </c>
      <c r="N188" t="s">
        <v>17</v>
      </c>
    </row>
    <row r="189" spans="1:14">
      <c r="A189" t="s">
        <v>36</v>
      </c>
      <c r="B189" t="s">
        <v>424</v>
      </c>
      <c r="C189" t="s">
        <v>27</v>
      </c>
      <c r="D189" t="s">
        <v>66</v>
      </c>
      <c r="E189">
        <v>2026</v>
      </c>
      <c r="F189" s="3">
        <v>46053</v>
      </c>
      <c r="G189" s="3">
        <v>46210</v>
      </c>
      <c r="H189" s="4">
        <v>4649</v>
      </c>
      <c r="I189" s="4">
        <v>4649</v>
      </c>
      <c r="J189" s="4">
        <f>H189-I189</f>
        <v>0</v>
      </c>
      <c r="K189" s="3">
        <v>46210</v>
      </c>
      <c r="L189">
        <f t="shared" si="2"/>
        <v>0</v>
      </c>
      <c r="M189" t="str">
        <f>IF(J189&lt;=0,"Paid",IF(L189=0,"Current",IF(L189&lt;=30,"1-30 Days",IF(L189&lt;=60,"31-60 Days",IF(L189&lt;=90,"61-90 Days","90+ Days")))))</f>
        <v>Paid</v>
      </c>
      <c r="N189" t="s">
        <v>17</v>
      </c>
    </row>
    <row r="190" spans="1:14">
      <c r="A190" t="s">
        <v>425</v>
      </c>
      <c r="B190" t="s">
        <v>426</v>
      </c>
      <c r="C190" t="s">
        <v>26</v>
      </c>
      <c r="D190" t="s">
        <v>66</v>
      </c>
      <c r="E190">
        <v>2026</v>
      </c>
      <c r="F190" s="3">
        <v>45914</v>
      </c>
      <c r="G190" s="3">
        <v>46210</v>
      </c>
      <c r="H190" s="4">
        <v>4627</v>
      </c>
      <c r="I190" s="4">
        <v>4627</v>
      </c>
      <c r="J190" s="4">
        <f>H190-I190</f>
        <v>0</v>
      </c>
      <c r="K190" s="3">
        <v>46210</v>
      </c>
      <c r="L190">
        <f t="shared" si="2"/>
        <v>0</v>
      </c>
      <c r="M190" t="str">
        <f>IF(J190&lt;=0,"Paid",IF(L190=0,"Current",IF(L190&lt;=30,"1-30 Days",IF(L190&lt;=60,"31-60 Days",IF(L190&lt;=90,"61-90 Days","90+ Days")))))</f>
        <v>Paid</v>
      </c>
      <c r="N190" t="s">
        <v>15</v>
      </c>
    </row>
    <row r="191" spans="1:14">
      <c r="A191" t="s">
        <v>427</v>
      </c>
      <c r="B191" t="s">
        <v>238</v>
      </c>
      <c r="C191" t="s">
        <v>27</v>
      </c>
      <c r="D191" t="s">
        <v>66</v>
      </c>
      <c r="E191">
        <v>2026</v>
      </c>
      <c r="F191" s="3">
        <v>45888</v>
      </c>
      <c r="G191" s="3">
        <v>46210</v>
      </c>
      <c r="H191" s="4">
        <v>4444</v>
      </c>
      <c r="I191" s="4">
        <v>4444</v>
      </c>
      <c r="J191" s="4">
        <f>H191-I191</f>
        <v>0</v>
      </c>
      <c r="K191" s="3">
        <v>46210</v>
      </c>
      <c r="L191">
        <f t="shared" si="2"/>
        <v>0</v>
      </c>
      <c r="M191" t="str">
        <f>IF(J191&lt;=0,"Paid",IF(L191=0,"Current",IF(L191&lt;=30,"1-30 Days",IF(L191&lt;=60,"31-60 Days",IF(L191&lt;=90,"61-90 Days","90+ Days")))))</f>
        <v>Paid</v>
      </c>
      <c r="N191" t="s">
        <v>15</v>
      </c>
    </row>
    <row r="192" spans="1:14">
      <c r="A192" t="s">
        <v>428</v>
      </c>
      <c r="B192" t="s">
        <v>429</v>
      </c>
      <c r="C192" t="s">
        <v>28</v>
      </c>
      <c r="D192" t="s">
        <v>66</v>
      </c>
      <c r="E192">
        <v>2026</v>
      </c>
      <c r="F192" s="3">
        <v>46178</v>
      </c>
      <c r="G192" s="3">
        <v>46210</v>
      </c>
      <c r="H192" s="4">
        <v>4133</v>
      </c>
      <c r="I192" s="4">
        <v>4133</v>
      </c>
      <c r="J192" s="4">
        <f>H192-I192</f>
        <v>0</v>
      </c>
      <c r="K192" s="3">
        <v>46210</v>
      </c>
      <c r="L192">
        <f t="shared" si="2"/>
        <v>0</v>
      </c>
      <c r="M192" t="str">
        <f>IF(J192&lt;=0,"Paid",IF(L192=0,"Current",IF(L192&lt;=30,"1-30 Days",IF(L192&lt;=60,"31-60 Days",IF(L192&lt;=90,"61-90 Days","90+ Days")))))</f>
        <v>Paid</v>
      </c>
      <c r="N192" t="s">
        <v>17</v>
      </c>
    </row>
    <row r="193" spans="1:14">
      <c r="A193" t="s">
        <v>430</v>
      </c>
      <c r="B193" t="s">
        <v>431</v>
      </c>
      <c r="C193" t="s">
        <v>26</v>
      </c>
      <c r="D193" t="s">
        <v>66</v>
      </c>
      <c r="E193">
        <v>2026</v>
      </c>
      <c r="F193" s="3">
        <v>46055</v>
      </c>
      <c r="G193" s="3">
        <v>46210</v>
      </c>
      <c r="H193" s="4">
        <v>5289</v>
      </c>
      <c r="I193" s="4">
        <v>5289</v>
      </c>
      <c r="J193" s="4">
        <f>H193-I193</f>
        <v>0</v>
      </c>
      <c r="K193" s="3">
        <v>46210</v>
      </c>
      <c r="L193">
        <f t="shared" si="2"/>
        <v>0</v>
      </c>
      <c r="M193" t="str">
        <f>IF(J193&lt;=0,"Paid",IF(L193=0,"Current",IF(L193&lt;=30,"1-30 Days",IF(L193&lt;=60,"31-60 Days",IF(L193&lt;=90,"61-90 Days","90+ Days")))))</f>
        <v>Paid</v>
      </c>
      <c r="N193" t="s">
        <v>17</v>
      </c>
    </row>
    <row r="194" spans="1:14">
      <c r="A194" t="s">
        <v>432</v>
      </c>
      <c r="B194" t="s">
        <v>433</v>
      </c>
      <c r="C194" t="s">
        <v>25</v>
      </c>
      <c r="D194" t="s">
        <v>66</v>
      </c>
      <c r="E194">
        <v>2026</v>
      </c>
      <c r="F194" s="3">
        <v>46180</v>
      </c>
      <c r="G194" s="3">
        <v>46210</v>
      </c>
      <c r="H194" s="4">
        <v>3976</v>
      </c>
      <c r="I194" s="4">
        <v>3976</v>
      </c>
      <c r="J194" s="4">
        <f>H194-I194</f>
        <v>0</v>
      </c>
      <c r="K194" s="3">
        <v>46210</v>
      </c>
      <c r="L194">
        <f t="shared" si="2"/>
        <v>0</v>
      </c>
      <c r="M194" t="str">
        <f>IF(J194&lt;=0,"Paid",IF(L194=0,"Current",IF(L194&lt;=30,"1-30 Days",IF(L194&lt;=60,"31-60 Days",IF(L194&lt;=90,"61-90 Days","90+ Days")))))</f>
        <v>Paid</v>
      </c>
      <c r="N194" t="s">
        <v>17</v>
      </c>
    </row>
    <row r="195" spans="1:14">
      <c r="A195" t="s">
        <v>434</v>
      </c>
      <c r="B195" t="s">
        <v>435</v>
      </c>
      <c r="C195" t="s">
        <v>25</v>
      </c>
      <c r="D195" t="s">
        <v>66</v>
      </c>
      <c r="E195">
        <v>2026</v>
      </c>
      <c r="F195" s="3">
        <v>46020</v>
      </c>
      <c r="G195" s="3">
        <v>46210</v>
      </c>
      <c r="H195" s="4">
        <v>4164</v>
      </c>
      <c r="I195" s="4">
        <v>4164</v>
      </c>
      <c r="J195" s="4">
        <f>H195-I195</f>
        <v>0</v>
      </c>
      <c r="K195" s="3">
        <v>46210</v>
      </c>
      <c r="L195">
        <f t="shared" ref="L195:L258" si="3">IF(J195&lt;=0,0,MAX(0,$O$3-K195))</f>
        <v>0</v>
      </c>
      <c r="M195" t="str">
        <f>IF(J195&lt;=0,"Paid",IF(L195=0,"Current",IF(L195&lt;=30,"1-30 Days",IF(L195&lt;=60,"31-60 Days",IF(L195&lt;=90,"61-90 Days","90+ Days")))))</f>
        <v>Paid</v>
      </c>
      <c r="N195" t="s">
        <v>17</v>
      </c>
    </row>
    <row r="196" spans="1:14">
      <c r="A196" t="s">
        <v>436</v>
      </c>
      <c r="B196" t="s">
        <v>137</v>
      </c>
      <c r="C196" t="s">
        <v>26</v>
      </c>
      <c r="D196" t="s">
        <v>66</v>
      </c>
      <c r="E196">
        <v>2026</v>
      </c>
      <c r="F196" s="3">
        <v>46172</v>
      </c>
      <c r="G196" s="3">
        <v>46210</v>
      </c>
      <c r="H196" s="4">
        <v>5201</v>
      </c>
      <c r="I196" s="4">
        <v>5201</v>
      </c>
      <c r="J196" s="4">
        <f>H196-I196</f>
        <v>0</v>
      </c>
      <c r="K196" s="3">
        <v>46210</v>
      </c>
      <c r="L196">
        <f t="shared" si="3"/>
        <v>0</v>
      </c>
      <c r="M196" t="str">
        <f>IF(J196&lt;=0,"Paid",IF(L196=0,"Current",IF(L196&lt;=30,"1-30 Days",IF(L196&lt;=60,"31-60 Days",IF(L196&lt;=90,"61-90 Days","90+ Days")))))</f>
        <v>Paid</v>
      </c>
      <c r="N196" t="s">
        <v>17</v>
      </c>
    </row>
    <row r="197" spans="1:14">
      <c r="A197" t="s">
        <v>437</v>
      </c>
      <c r="B197" t="s">
        <v>438</v>
      </c>
      <c r="C197" t="s">
        <v>28</v>
      </c>
      <c r="D197" t="s">
        <v>66</v>
      </c>
      <c r="E197">
        <v>2026</v>
      </c>
      <c r="F197" s="3">
        <v>46165</v>
      </c>
      <c r="G197" s="3">
        <v>46210</v>
      </c>
      <c r="H197" s="4">
        <v>4176</v>
      </c>
      <c r="I197" s="4">
        <v>4176</v>
      </c>
      <c r="J197" s="4">
        <f>H197-I197</f>
        <v>0</v>
      </c>
      <c r="K197" s="3">
        <v>46210</v>
      </c>
      <c r="L197">
        <f t="shared" si="3"/>
        <v>0</v>
      </c>
      <c r="M197" t="str">
        <f>IF(J197&lt;=0,"Paid",IF(L197=0,"Current",IF(L197&lt;=30,"1-30 Days",IF(L197&lt;=60,"31-60 Days",IF(L197&lt;=90,"61-90 Days","90+ Days")))))</f>
        <v>Paid</v>
      </c>
      <c r="N197" t="s">
        <v>15</v>
      </c>
    </row>
    <row r="198" spans="1:14">
      <c r="A198" t="s">
        <v>439</v>
      </c>
      <c r="B198" t="s">
        <v>440</v>
      </c>
      <c r="C198" t="s">
        <v>27</v>
      </c>
      <c r="D198" t="s">
        <v>66</v>
      </c>
      <c r="E198">
        <v>2026</v>
      </c>
      <c r="F198" s="3">
        <v>46168</v>
      </c>
      <c r="G198" s="3">
        <v>46210</v>
      </c>
      <c r="H198" s="4">
        <v>4416</v>
      </c>
      <c r="I198" s="4">
        <v>4416</v>
      </c>
      <c r="J198" s="4">
        <f>H198-I198</f>
        <v>0</v>
      </c>
      <c r="K198" s="3">
        <v>46210</v>
      </c>
      <c r="L198">
        <f t="shared" si="3"/>
        <v>0</v>
      </c>
      <c r="M198" t="str">
        <f>IF(J198&lt;=0,"Paid",IF(L198=0,"Current",IF(L198&lt;=30,"1-30 Days",IF(L198&lt;=60,"31-60 Days",IF(L198&lt;=90,"61-90 Days","90+ Days")))))</f>
        <v>Paid</v>
      </c>
      <c r="N198" t="s">
        <v>15</v>
      </c>
    </row>
    <row r="199" spans="1:14">
      <c r="A199" t="s">
        <v>441</v>
      </c>
      <c r="B199" t="s">
        <v>442</v>
      </c>
      <c r="C199" t="s">
        <v>25</v>
      </c>
      <c r="D199" t="s">
        <v>66</v>
      </c>
      <c r="E199">
        <v>2026</v>
      </c>
      <c r="F199" s="3">
        <v>45912</v>
      </c>
      <c r="G199" s="3">
        <v>46210</v>
      </c>
      <c r="H199" s="4">
        <v>3919</v>
      </c>
      <c r="I199" s="4">
        <v>3919</v>
      </c>
      <c r="J199" s="4">
        <f>H199-I199</f>
        <v>0</v>
      </c>
      <c r="K199" s="3">
        <v>46210</v>
      </c>
      <c r="L199">
        <f t="shared" si="3"/>
        <v>0</v>
      </c>
      <c r="M199" t="str">
        <f>IF(J199&lt;=0,"Paid",IF(L199=0,"Current",IF(L199&lt;=30,"1-30 Days",IF(L199&lt;=60,"31-60 Days",IF(L199&lt;=90,"61-90 Days","90+ Days")))))</f>
        <v>Paid</v>
      </c>
      <c r="N199" t="s">
        <v>17</v>
      </c>
    </row>
    <row r="200" spans="1:14">
      <c r="A200" t="s">
        <v>443</v>
      </c>
      <c r="B200" t="s">
        <v>444</v>
      </c>
      <c r="C200" t="s">
        <v>26</v>
      </c>
      <c r="D200" t="s">
        <v>66</v>
      </c>
      <c r="E200">
        <v>2026</v>
      </c>
      <c r="F200" s="3">
        <v>46169</v>
      </c>
      <c r="G200" s="3">
        <v>46210</v>
      </c>
      <c r="H200" s="4">
        <v>4669</v>
      </c>
      <c r="I200" s="4">
        <v>4669</v>
      </c>
      <c r="J200" s="4">
        <f>H200-I200</f>
        <v>0</v>
      </c>
      <c r="K200" s="3">
        <v>46210</v>
      </c>
      <c r="L200">
        <f t="shared" si="3"/>
        <v>0</v>
      </c>
      <c r="M200" t="str">
        <f>IF(J200&lt;=0,"Paid",IF(L200=0,"Current",IF(L200&lt;=30,"1-30 Days",IF(L200&lt;=60,"31-60 Days",IF(L200&lt;=90,"61-90 Days","90+ Days")))))</f>
        <v>Paid</v>
      </c>
      <c r="N200" t="s">
        <v>15</v>
      </c>
    </row>
    <row r="201" spans="1:14">
      <c r="A201" t="s">
        <v>445</v>
      </c>
      <c r="B201" t="s">
        <v>446</v>
      </c>
      <c r="C201" t="s">
        <v>25</v>
      </c>
      <c r="D201" t="s">
        <v>66</v>
      </c>
      <c r="E201">
        <v>2026</v>
      </c>
      <c r="F201" s="3">
        <v>45896</v>
      </c>
      <c r="G201" s="3">
        <v>46210</v>
      </c>
      <c r="H201" s="4">
        <v>4194</v>
      </c>
      <c r="I201" s="4">
        <v>4194</v>
      </c>
      <c r="J201" s="4">
        <f>H201-I201</f>
        <v>0</v>
      </c>
      <c r="K201" s="3">
        <v>46210</v>
      </c>
      <c r="L201">
        <f t="shared" si="3"/>
        <v>0</v>
      </c>
      <c r="M201" t="str">
        <f>IF(J201&lt;=0,"Paid",IF(L201=0,"Current",IF(L201&lt;=30,"1-30 Days",IF(L201&lt;=60,"31-60 Days",IF(L201&lt;=90,"61-90 Days","90+ Days")))))</f>
        <v>Paid</v>
      </c>
      <c r="N201" t="s">
        <v>17</v>
      </c>
    </row>
    <row r="202" spans="1:14">
      <c r="A202" t="s">
        <v>447</v>
      </c>
      <c r="B202" t="s">
        <v>448</v>
      </c>
      <c r="C202" t="s">
        <v>28</v>
      </c>
      <c r="D202" t="s">
        <v>66</v>
      </c>
      <c r="E202">
        <v>2026</v>
      </c>
      <c r="F202" s="3">
        <v>46027</v>
      </c>
      <c r="G202" s="3">
        <v>46210</v>
      </c>
      <c r="H202" s="4">
        <v>3952</v>
      </c>
      <c r="I202" s="4">
        <v>1976</v>
      </c>
      <c r="J202" s="4">
        <f>H202-I202</f>
        <v>1976</v>
      </c>
      <c r="K202" s="3">
        <v>46210</v>
      </c>
      <c r="L202">
        <f t="shared" si="3"/>
        <v>6</v>
      </c>
      <c r="M202" t="str">
        <f>IF(J202&lt;=0,"Paid",IF(L202=0,"Current",IF(L202&lt;=30,"1-30 Days",IF(L202&lt;=60,"31-60 Days",IF(L202&lt;=90,"61-90 Days","90+ Days")))))</f>
        <v>1-30 Days</v>
      </c>
      <c r="N202" t="s">
        <v>17</v>
      </c>
    </row>
    <row r="203" spans="1:14">
      <c r="A203" t="s">
        <v>449</v>
      </c>
      <c r="B203" t="s">
        <v>129</v>
      </c>
      <c r="C203" t="s">
        <v>28</v>
      </c>
      <c r="D203" t="s">
        <v>66</v>
      </c>
      <c r="E203">
        <v>2026</v>
      </c>
      <c r="F203" s="3">
        <v>46162</v>
      </c>
      <c r="G203" s="3">
        <v>46210</v>
      </c>
      <c r="H203" s="4">
        <v>3932</v>
      </c>
      <c r="I203" s="4">
        <v>3932</v>
      </c>
      <c r="J203" s="4">
        <f>H203-I203</f>
        <v>0</v>
      </c>
      <c r="K203" s="3">
        <v>46210</v>
      </c>
      <c r="L203">
        <f t="shared" si="3"/>
        <v>0</v>
      </c>
      <c r="M203" t="str">
        <f>IF(J203&lt;=0,"Paid",IF(L203=0,"Current",IF(L203&lt;=30,"1-30 Days",IF(L203&lt;=60,"31-60 Days",IF(L203&lt;=90,"61-90 Days","90+ Days")))))</f>
        <v>Paid</v>
      </c>
      <c r="N203" t="s">
        <v>17</v>
      </c>
    </row>
    <row r="204" spans="1:14">
      <c r="A204" t="s">
        <v>450</v>
      </c>
      <c r="B204" t="s">
        <v>158</v>
      </c>
      <c r="C204" t="s">
        <v>29</v>
      </c>
      <c r="D204" t="s">
        <v>66</v>
      </c>
      <c r="E204">
        <v>2026</v>
      </c>
      <c r="F204" s="3">
        <v>46038</v>
      </c>
      <c r="G204" s="3">
        <v>46210</v>
      </c>
      <c r="H204" s="4">
        <v>4011</v>
      </c>
      <c r="I204" s="4">
        <v>4011</v>
      </c>
      <c r="J204" s="4">
        <f>H204-I204</f>
        <v>0</v>
      </c>
      <c r="K204" s="3">
        <v>46210</v>
      </c>
      <c r="L204">
        <f t="shared" si="3"/>
        <v>0</v>
      </c>
      <c r="M204" t="str">
        <f>IF(J204&lt;=0,"Paid",IF(L204=0,"Current",IF(L204&lt;=30,"1-30 Days",IF(L204&lt;=60,"31-60 Days",IF(L204&lt;=90,"61-90 Days","90+ Days")))))</f>
        <v>Paid</v>
      </c>
      <c r="N204" t="s">
        <v>17</v>
      </c>
    </row>
    <row r="205" spans="1:14">
      <c r="A205" t="s">
        <v>451</v>
      </c>
      <c r="B205" t="s">
        <v>452</v>
      </c>
      <c r="C205" t="s">
        <v>26</v>
      </c>
      <c r="D205" t="s">
        <v>66</v>
      </c>
      <c r="E205">
        <v>2026</v>
      </c>
      <c r="F205" s="3">
        <v>45895</v>
      </c>
      <c r="G205" s="3">
        <v>46210</v>
      </c>
      <c r="H205" s="4">
        <v>4899</v>
      </c>
      <c r="I205" s="4">
        <v>4899</v>
      </c>
      <c r="J205" s="4">
        <f>H205-I205</f>
        <v>0</v>
      </c>
      <c r="K205" s="3">
        <v>46210</v>
      </c>
      <c r="L205">
        <f t="shared" si="3"/>
        <v>0</v>
      </c>
      <c r="M205" t="str">
        <f>IF(J205&lt;=0,"Paid",IF(L205=0,"Current",IF(L205&lt;=30,"1-30 Days",IF(L205&lt;=60,"31-60 Days",IF(L205&lt;=90,"61-90 Days","90+ Days")))))</f>
        <v>Paid</v>
      </c>
      <c r="N205" t="s">
        <v>17</v>
      </c>
    </row>
    <row r="206" spans="1:14">
      <c r="A206" t="s">
        <v>453</v>
      </c>
      <c r="B206" t="s">
        <v>454</v>
      </c>
      <c r="C206" t="s">
        <v>25</v>
      </c>
      <c r="D206" t="s">
        <v>66</v>
      </c>
      <c r="E206">
        <v>2026</v>
      </c>
      <c r="F206" s="3">
        <v>46179</v>
      </c>
      <c r="G206" s="3">
        <v>46210</v>
      </c>
      <c r="H206" s="4">
        <v>4141</v>
      </c>
      <c r="I206" s="4">
        <v>2100</v>
      </c>
      <c r="J206" s="4">
        <f>H206-I206</f>
        <v>2041</v>
      </c>
      <c r="K206" s="3">
        <v>46210</v>
      </c>
      <c r="L206">
        <f t="shared" si="3"/>
        <v>6</v>
      </c>
      <c r="M206" t="str">
        <f>IF(J206&lt;=0,"Paid",IF(L206=0,"Current",IF(L206&lt;=30,"1-30 Days",IF(L206&lt;=60,"31-60 Days",IF(L206&lt;=90,"61-90 Days","90+ Days")))))</f>
        <v>1-30 Days</v>
      </c>
      <c r="N206" t="s">
        <v>17</v>
      </c>
    </row>
    <row r="207" spans="1:14">
      <c r="A207" t="s">
        <v>455</v>
      </c>
      <c r="B207" t="s">
        <v>456</v>
      </c>
      <c r="C207" t="s">
        <v>28</v>
      </c>
      <c r="D207" t="s">
        <v>66</v>
      </c>
      <c r="E207">
        <v>2026</v>
      </c>
      <c r="F207" s="3">
        <v>45881</v>
      </c>
      <c r="G207" s="3">
        <v>46210</v>
      </c>
      <c r="H207" s="4">
        <v>4198</v>
      </c>
      <c r="I207" s="4">
        <v>4198</v>
      </c>
      <c r="J207" s="4">
        <f>H207-I207</f>
        <v>0</v>
      </c>
      <c r="K207" s="3">
        <v>46210</v>
      </c>
      <c r="L207">
        <f t="shared" si="3"/>
        <v>0</v>
      </c>
      <c r="M207" t="str">
        <f>IF(J207&lt;=0,"Paid",IF(L207=0,"Current",IF(L207&lt;=30,"1-30 Days",IF(L207&lt;=60,"31-60 Days",IF(L207&lt;=90,"61-90 Days","90+ Days")))))</f>
        <v>Paid</v>
      </c>
      <c r="N207" t="s">
        <v>17</v>
      </c>
    </row>
    <row r="208" spans="1:14">
      <c r="A208" t="s">
        <v>457</v>
      </c>
      <c r="B208" t="s">
        <v>458</v>
      </c>
      <c r="C208" t="s">
        <v>28</v>
      </c>
      <c r="D208" t="s">
        <v>66</v>
      </c>
      <c r="E208">
        <v>2026</v>
      </c>
      <c r="F208" s="3">
        <v>45886</v>
      </c>
      <c r="G208" s="3">
        <v>46210</v>
      </c>
      <c r="H208" s="4">
        <v>3754</v>
      </c>
      <c r="I208" s="4">
        <v>3754</v>
      </c>
      <c r="J208" s="4">
        <f>H208-I208</f>
        <v>0</v>
      </c>
      <c r="K208" s="3">
        <v>46210</v>
      </c>
      <c r="L208">
        <f t="shared" si="3"/>
        <v>0</v>
      </c>
      <c r="M208" t="str">
        <f>IF(J208&lt;=0,"Paid",IF(L208=0,"Current",IF(L208&lt;=30,"1-30 Days",IF(L208&lt;=60,"31-60 Days",IF(L208&lt;=90,"61-90 Days","90+ Days")))))</f>
        <v>Paid</v>
      </c>
      <c r="N208" t="s">
        <v>17</v>
      </c>
    </row>
    <row r="209" spans="1:14">
      <c r="A209" t="s">
        <v>459</v>
      </c>
      <c r="B209" t="s">
        <v>460</v>
      </c>
      <c r="C209" t="s">
        <v>29</v>
      </c>
      <c r="D209" t="s">
        <v>66</v>
      </c>
      <c r="E209">
        <v>2026</v>
      </c>
      <c r="F209" s="3">
        <v>45893</v>
      </c>
      <c r="G209" s="3">
        <v>46210</v>
      </c>
      <c r="H209" s="4">
        <v>4451</v>
      </c>
      <c r="I209" s="4">
        <v>4451</v>
      </c>
      <c r="J209" s="4">
        <f>H209-I209</f>
        <v>0</v>
      </c>
      <c r="K209" s="3">
        <v>46210</v>
      </c>
      <c r="L209">
        <f t="shared" si="3"/>
        <v>0</v>
      </c>
      <c r="M209" t="str">
        <f>IF(J209&lt;=0,"Paid",IF(L209=0,"Current",IF(L209&lt;=30,"1-30 Days",IF(L209&lt;=60,"31-60 Days",IF(L209&lt;=90,"61-90 Days","90+ Days")))))</f>
        <v>Paid</v>
      </c>
      <c r="N209" t="s">
        <v>17</v>
      </c>
    </row>
    <row r="210" spans="1:14">
      <c r="A210" t="s">
        <v>461</v>
      </c>
      <c r="B210" t="s">
        <v>462</v>
      </c>
      <c r="C210" t="s">
        <v>26</v>
      </c>
      <c r="D210" t="s">
        <v>66</v>
      </c>
      <c r="E210">
        <v>2026</v>
      </c>
      <c r="F210" s="3">
        <v>45887</v>
      </c>
      <c r="G210" s="3">
        <v>46210</v>
      </c>
      <c r="H210" s="4">
        <v>5134</v>
      </c>
      <c r="I210" s="4">
        <v>5134</v>
      </c>
      <c r="J210" s="4">
        <f>H210-I210</f>
        <v>0</v>
      </c>
      <c r="K210" s="3">
        <v>46210</v>
      </c>
      <c r="L210">
        <f t="shared" si="3"/>
        <v>0</v>
      </c>
      <c r="M210" t="str">
        <f>IF(J210&lt;=0,"Paid",IF(L210=0,"Current",IF(L210&lt;=30,"1-30 Days",IF(L210&lt;=60,"31-60 Days",IF(L210&lt;=90,"61-90 Days","90+ Days")))))</f>
        <v>Paid</v>
      </c>
      <c r="N210" t="s">
        <v>17</v>
      </c>
    </row>
    <row r="211" spans="1:14">
      <c r="A211" t="s">
        <v>463</v>
      </c>
      <c r="B211" t="s">
        <v>464</v>
      </c>
      <c r="C211" t="s">
        <v>28</v>
      </c>
      <c r="D211" t="s">
        <v>66</v>
      </c>
      <c r="E211">
        <v>2026</v>
      </c>
      <c r="F211" s="3">
        <v>46047</v>
      </c>
      <c r="G211" s="3">
        <v>46210</v>
      </c>
      <c r="H211" s="4">
        <v>4268</v>
      </c>
      <c r="I211" s="4">
        <v>4268</v>
      </c>
      <c r="J211" s="4">
        <f>H211-I211</f>
        <v>0</v>
      </c>
      <c r="K211" s="3">
        <v>46210</v>
      </c>
      <c r="L211">
        <f t="shared" si="3"/>
        <v>0</v>
      </c>
      <c r="M211" t="str">
        <f>IF(J211&lt;=0,"Paid",IF(L211=0,"Current",IF(L211&lt;=30,"1-30 Days",IF(L211&lt;=60,"31-60 Days",IF(L211&lt;=90,"61-90 Days","90+ Days")))))</f>
        <v>Paid</v>
      </c>
      <c r="N211" t="s">
        <v>17</v>
      </c>
    </row>
    <row r="212" spans="1:14">
      <c r="A212" t="s">
        <v>465</v>
      </c>
      <c r="B212" t="s">
        <v>466</v>
      </c>
      <c r="C212" t="s">
        <v>28</v>
      </c>
      <c r="D212" t="s">
        <v>66</v>
      </c>
      <c r="E212">
        <v>2026</v>
      </c>
      <c r="F212" s="3">
        <v>46174</v>
      </c>
      <c r="G212" s="3">
        <v>46210</v>
      </c>
      <c r="H212" s="4">
        <v>4037</v>
      </c>
      <c r="I212" s="4">
        <v>4037</v>
      </c>
      <c r="J212" s="4">
        <f>H212-I212</f>
        <v>0</v>
      </c>
      <c r="K212" s="3">
        <v>46210</v>
      </c>
      <c r="L212">
        <f t="shared" si="3"/>
        <v>0</v>
      </c>
      <c r="M212" t="str">
        <f>IF(J212&lt;=0,"Paid",IF(L212=0,"Current",IF(L212&lt;=30,"1-30 Days",IF(L212&lt;=60,"31-60 Days",IF(L212&lt;=90,"61-90 Days","90+ Days")))))</f>
        <v>Paid</v>
      </c>
      <c r="N212" t="s">
        <v>17</v>
      </c>
    </row>
    <row r="213" spans="1:14">
      <c r="A213" t="s">
        <v>467</v>
      </c>
      <c r="B213" t="s">
        <v>468</v>
      </c>
      <c r="C213" t="s">
        <v>25</v>
      </c>
      <c r="D213" t="s">
        <v>66</v>
      </c>
      <c r="E213">
        <v>2026</v>
      </c>
      <c r="F213" s="3">
        <v>45896</v>
      </c>
      <c r="G213" s="3">
        <v>46210</v>
      </c>
      <c r="H213" s="4">
        <v>3921</v>
      </c>
      <c r="I213" s="4">
        <v>3921</v>
      </c>
      <c r="J213" s="4">
        <f>H213-I213</f>
        <v>0</v>
      </c>
      <c r="K213" s="3">
        <v>46210</v>
      </c>
      <c r="L213">
        <f t="shared" si="3"/>
        <v>0</v>
      </c>
      <c r="M213" t="str">
        <f>IF(J213&lt;=0,"Paid",IF(L213=0,"Current",IF(L213&lt;=30,"1-30 Days",IF(L213&lt;=60,"31-60 Days",IF(L213&lt;=90,"61-90 Days","90+ Days")))))</f>
        <v>Paid</v>
      </c>
      <c r="N213" t="s">
        <v>17</v>
      </c>
    </row>
    <row r="214" spans="1:14">
      <c r="A214" t="s">
        <v>469</v>
      </c>
      <c r="B214" t="s">
        <v>470</v>
      </c>
      <c r="C214" t="s">
        <v>26</v>
      </c>
      <c r="D214" t="s">
        <v>66</v>
      </c>
      <c r="E214">
        <v>2026</v>
      </c>
      <c r="F214" s="3">
        <v>46171</v>
      </c>
      <c r="G214" s="3">
        <v>46210</v>
      </c>
      <c r="H214" s="4">
        <v>5071</v>
      </c>
      <c r="I214" s="4">
        <v>5071</v>
      </c>
      <c r="J214" s="4">
        <f>H214-I214</f>
        <v>0</v>
      </c>
      <c r="K214" s="3">
        <v>46210</v>
      </c>
      <c r="L214">
        <f t="shared" si="3"/>
        <v>0</v>
      </c>
      <c r="M214" t="str">
        <f>IF(J214&lt;=0,"Paid",IF(L214=0,"Current",IF(L214&lt;=30,"1-30 Days",IF(L214&lt;=60,"31-60 Days",IF(L214&lt;=90,"61-90 Days","90+ Days")))))</f>
        <v>Paid</v>
      </c>
      <c r="N214" t="s">
        <v>17</v>
      </c>
    </row>
    <row r="215" spans="1:14">
      <c r="A215" t="s">
        <v>471</v>
      </c>
      <c r="B215" t="s">
        <v>472</v>
      </c>
      <c r="C215" t="s">
        <v>26</v>
      </c>
      <c r="D215" t="s">
        <v>66</v>
      </c>
      <c r="E215">
        <v>2026</v>
      </c>
      <c r="F215" s="3">
        <v>46149</v>
      </c>
      <c r="G215" s="3">
        <v>46210</v>
      </c>
      <c r="H215" s="4">
        <v>4808</v>
      </c>
      <c r="I215" s="4">
        <v>4808</v>
      </c>
      <c r="J215" s="4">
        <f>H215-I215</f>
        <v>0</v>
      </c>
      <c r="K215" s="3">
        <v>46210</v>
      </c>
      <c r="L215">
        <f t="shared" si="3"/>
        <v>0</v>
      </c>
      <c r="M215" t="str">
        <f>IF(J215&lt;=0,"Paid",IF(L215=0,"Current",IF(L215&lt;=30,"1-30 Days",IF(L215&lt;=60,"31-60 Days",IF(L215&lt;=90,"61-90 Days","90+ Days")))))</f>
        <v>Paid</v>
      </c>
      <c r="N215" t="s">
        <v>17</v>
      </c>
    </row>
    <row r="216" spans="1:14">
      <c r="A216" t="s">
        <v>473</v>
      </c>
      <c r="B216" t="s">
        <v>474</v>
      </c>
      <c r="C216" t="s">
        <v>28</v>
      </c>
      <c r="D216" t="s">
        <v>66</v>
      </c>
      <c r="E216">
        <v>2026</v>
      </c>
      <c r="F216" s="3">
        <v>45905</v>
      </c>
      <c r="G216" s="3">
        <v>46210</v>
      </c>
      <c r="H216" s="4">
        <v>4027</v>
      </c>
      <c r="I216" s="4">
        <v>4027</v>
      </c>
      <c r="J216" s="4">
        <f>H216-I216</f>
        <v>0</v>
      </c>
      <c r="K216" s="3">
        <v>46210</v>
      </c>
      <c r="L216">
        <f t="shared" si="3"/>
        <v>0</v>
      </c>
      <c r="M216" t="str">
        <f>IF(J216&lt;=0,"Paid",IF(L216=0,"Current",IF(L216&lt;=30,"1-30 Days",IF(L216&lt;=60,"31-60 Days",IF(L216&lt;=90,"61-90 Days","90+ Days")))))</f>
        <v>Paid</v>
      </c>
      <c r="N216" t="s">
        <v>17</v>
      </c>
    </row>
    <row r="217" spans="1:14">
      <c r="A217" t="s">
        <v>475</v>
      </c>
      <c r="B217" t="s">
        <v>476</v>
      </c>
      <c r="C217" t="s">
        <v>28</v>
      </c>
      <c r="D217" t="s">
        <v>66</v>
      </c>
      <c r="E217">
        <v>2026</v>
      </c>
      <c r="F217" s="3">
        <v>46040</v>
      </c>
      <c r="G217" s="3">
        <v>46210</v>
      </c>
      <c r="H217" s="4">
        <v>3787</v>
      </c>
      <c r="I217" s="4">
        <v>3787</v>
      </c>
      <c r="J217" s="4">
        <f>H217-I217</f>
        <v>0</v>
      </c>
      <c r="K217" s="3">
        <v>46210</v>
      </c>
      <c r="L217">
        <f t="shared" si="3"/>
        <v>0</v>
      </c>
      <c r="M217" t="str">
        <f>IF(J217&lt;=0,"Paid",IF(L217=0,"Current",IF(L217&lt;=30,"1-30 Days",IF(L217&lt;=60,"31-60 Days",IF(L217&lt;=90,"61-90 Days","90+ Days")))))</f>
        <v>Paid</v>
      </c>
      <c r="N217" t="s">
        <v>17</v>
      </c>
    </row>
    <row r="218" spans="1:14">
      <c r="A218" t="s">
        <v>477</v>
      </c>
      <c r="B218" t="s">
        <v>478</v>
      </c>
      <c r="C218" t="s">
        <v>28</v>
      </c>
      <c r="D218" t="s">
        <v>66</v>
      </c>
      <c r="E218">
        <v>2026</v>
      </c>
      <c r="F218" s="3">
        <v>46046</v>
      </c>
      <c r="G218" s="3">
        <v>46210</v>
      </c>
      <c r="H218" s="4">
        <v>4041</v>
      </c>
      <c r="I218" s="4">
        <v>4041</v>
      </c>
      <c r="J218" s="4">
        <f>H218-I218</f>
        <v>0</v>
      </c>
      <c r="K218" s="3">
        <v>46210</v>
      </c>
      <c r="L218">
        <f t="shared" si="3"/>
        <v>0</v>
      </c>
      <c r="M218" t="str">
        <f>IF(J218&lt;=0,"Paid",IF(L218=0,"Current",IF(L218&lt;=30,"1-30 Days",IF(L218&lt;=60,"31-60 Days",IF(L218&lt;=90,"61-90 Days","90+ Days")))))</f>
        <v>Paid</v>
      </c>
      <c r="N218" t="s">
        <v>17</v>
      </c>
    </row>
    <row r="219" spans="1:14">
      <c r="A219" t="s">
        <v>479</v>
      </c>
      <c r="B219" t="s">
        <v>252</v>
      </c>
      <c r="C219" t="s">
        <v>25</v>
      </c>
      <c r="D219" t="s">
        <v>66</v>
      </c>
      <c r="E219">
        <v>2026</v>
      </c>
      <c r="F219" s="3">
        <v>46169</v>
      </c>
      <c r="G219" s="3">
        <v>46210</v>
      </c>
      <c r="H219" s="4">
        <v>4243</v>
      </c>
      <c r="I219" s="4">
        <v>2121</v>
      </c>
      <c r="J219" s="4">
        <f>H219-I219</f>
        <v>2122</v>
      </c>
      <c r="K219" s="3">
        <v>46210</v>
      </c>
      <c r="L219">
        <f t="shared" si="3"/>
        <v>6</v>
      </c>
      <c r="M219" t="str">
        <f>IF(J219&lt;=0,"Paid",IF(L219=0,"Current",IF(L219&lt;=30,"1-30 Days",IF(L219&lt;=60,"31-60 Days",IF(L219&lt;=90,"61-90 Days","90+ Days")))))</f>
        <v>1-30 Days</v>
      </c>
      <c r="N219" t="s">
        <v>17</v>
      </c>
    </row>
    <row r="220" spans="1:14">
      <c r="A220" t="s">
        <v>480</v>
      </c>
      <c r="B220" t="s">
        <v>481</v>
      </c>
      <c r="C220" t="s">
        <v>28</v>
      </c>
      <c r="D220" t="s">
        <v>66</v>
      </c>
      <c r="E220">
        <v>2026</v>
      </c>
      <c r="F220" s="3">
        <v>45895</v>
      </c>
      <c r="G220" s="3">
        <v>46210</v>
      </c>
      <c r="H220" s="4">
        <v>4182</v>
      </c>
      <c r="I220" s="4">
        <v>4182</v>
      </c>
      <c r="J220" s="4">
        <f>H220-I220</f>
        <v>0</v>
      </c>
      <c r="K220" s="3">
        <v>46210</v>
      </c>
      <c r="L220">
        <f t="shared" si="3"/>
        <v>0</v>
      </c>
      <c r="M220" t="str">
        <f>IF(J220&lt;=0,"Paid",IF(L220=0,"Current",IF(L220&lt;=30,"1-30 Days",IF(L220&lt;=60,"31-60 Days",IF(L220&lt;=90,"61-90 Days","90+ Days")))))</f>
        <v>Paid</v>
      </c>
      <c r="N220" t="s">
        <v>17</v>
      </c>
    </row>
    <row r="221" spans="1:14">
      <c r="A221" t="s">
        <v>482</v>
      </c>
      <c r="B221" t="s">
        <v>452</v>
      </c>
      <c r="C221" t="s">
        <v>28</v>
      </c>
      <c r="D221" t="s">
        <v>66</v>
      </c>
      <c r="E221">
        <v>2026</v>
      </c>
      <c r="F221" s="3">
        <v>46154</v>
      </c>
      <c r="G221" s="3">
        <v>46210</v>
      </c>
      <c r="H221" s="4">
        <v>3955</v>
      </c>
      <c r="I221" s="4">
        <v>3955</v>
      </c>
      <c r="J221" s="4">
        <f>H221-I221</f>
        <v>0</v>
      </c>
      <c r="K221" s="3">
        <v>46210</v>
      </c>
      <c r="L221">
        <f t="shared" si="3"/>
        <v>0</v>
      </c>
      <c r="M221" t="str">
        <f>IF(J221&lt;=0,"Paid",IF(L221=0,"Current",IF(L221&lt;=30,"1-30 Days",IF(L221&lt;=60,"31-60 Days",IF(L221&lt;=90,"61-90 Days","90+ Days")))))</f>
        <v>Paid</v>
      </c>
      <c r="N221" t="s">
        <v>17</v>
      </c>
    </row>
    <row r="222" spans="1:14">
      <c r="A222" t="s">
        <v>483</v>
      </c>
      <c r="B222" t="s">
        <v>484</v>
      </c>
      <c r="C222" t="s">
        <v>29</v>
      </c>
      <c r="D222" t="s">
        <v>66</v>
      </c>
      <c r="E222">
        <v>2026</v>
      </c>
      <c r="F222" s="3">
        <v>46033</v>
      </c>
      <c r="G222" s="3">
        <v>46210</v>
      </c>
      <c r="H222" s="4">
        <v>4022</v>
      </c>
      <c r="I222" s="4">
        <v>4022</v>
      </c>
      <c r="J222" s="4">
        <f>H222-I222</f>
        <v>0</v>
      </c>
      <c r="K222" s="3">
        <v>46210</v>
      </c>
      <c r="L222">
        <f t="shared" si="3"/>
        <v>0</v>
      </c>
      <c r="M222" t="str">
        <f>IF(J222&lt;=0,"Paid",IF(L222=0,"Current",IF(L222&lt;=30,"1-30 Days",IF(L222&lt;=60,"31-60 Days",IF(L222&lt;=90,"61-90 Days","90+ Days")))))</f>
        <v>Paid</v>
      </c>
      <c r="N222" t="s">
        <v>17</v>
      </c>
    </row>
    <row r="223" spans="1:14">
      <c r="A223" t="s">
        <v>485</v>
      </c>
      <c r="B223" t="s">
        <v>280</v>
      </c>
      <c r="C223" t="s">
        <v>25</v>
      </c>
      <c r="D223" t="s">
        <v>66</v>
      </c>
      <c r="E223">
        <v>2026</v>
      </c>
      <c r="F223" s="3">
        <v>45892</v>
      </c>
      <c r="G223" s="3">
        <v>46210</v>
      </c>
      <c r="H223" s="4">
        <v>3849</v>
      </c>
      <c r="I223" s="4">
        <v>3849</v>
      </c>
      <c r="J223" s="4">
        <f>H223-I223</f>
        <v>0</v>
      </c>
      <c r="K223" s="3">
        <v>46210</v>
      </c>
      <c r="L223">
        <f t="shared" si="3"/>
        <v>0</v>
      </c>
      <c r="M223" t="str">
        <f>IF(J223&lt;=0,"Paid",IF(L223=0,"Current",IF(L223&lt;=30,"1-30 Days",IF(L223&lt;=60,"31-60 Days",IF(L223&lt;=90,"61-90 Days","90+ Days")))))</f>
        <v>Paid</v>
      </c>
      <c r="N223" t="s">
        <v>17</v>
      </c>
    </row>
    <row r="224" spans="1:14">
      <c r="A224" t="s">
        <v>486</v>
      </c>
      <c r="B224" t="s">
        <v>234</v>
      </c>
      <c r="C224" t="s">
        <v>27</v>
      </c>
      <c r="D224" t="s">
        <v>66</v>
      </c>
      <c r="E224">
        <v>2026</v>
      </c>
      <c r="F224" s="3">
        <v>46152</v>
      </c>
      <c r="G224" s="3">
        <v>46210</v>
      </c>
      <c r="H224" s="4">
        <v>4230</v>
      </c>
      <c r="I224" s="4">
        <v>4230</v>
      </c>
      <c r="J224" s="4">
        <f>H224-I224</f>
        <v>0</v>
      </c>
      <c r="K224" s="3">
        <v>46210</v>
      </c>
      <c r="L224">
        <f t="shared" si="3"/>
        <v>0</v>
      </c>
      <c r="M224" t="str">
        <f>IF(J224&lt;=0,"Paid",IF(L224=0,"Current",IF(L224&lt;=30,"1-30 Days",IF(L224&lt;=60,"31-60 Days",IF(L224&lt;=90,"61-90 Days","90+ Days")))))</f>
        <v>Paid</v>
      </c>
      <c r="N224" t="s">
        <v>17</v>
      </c>
    </row>
    <row r="225" spans="1:14">
      <c r="A225" t="s">
        <v>487</v>
      </c>
      <c r="B225" t="s">
        <v>326</v>
      </c>
      <c r="C225" t="s">
        <v>29</v>
      </c>
      <c r="D225" t="s">
        <v>66</v>
      </c>
      <c r="E225">
        <v>2026</v>
      </c>
      <c r="F225" s="3">
        <v>46038</v>
      </c>
      <c r="G225" s="3">
        <v>46210</v>
      </c>
      <c r="H225" s="4">
        <v>4264</v>
      </c>
      <c r="I225" s="4">
        <v>4264</v>
      </c>
      <c r="J225" s="4">
        <f>H225-I225</f>
        <v>0</v>
      </c>
      <c r="K225" s="3">
        <v>46210</v>
      </c>
      <c r="L225">
        <f t="shared" si="3"/>
        <v>0</v>
      </c>
      <c r="M225" t="str">
        <f>IF(J225&lt;=0,"Paid",IF(L225=0,"Current",IF(L225&lt;=30,"1-30 Days",IF(L225&lt;=60,"31-60 Days",IF(L225&lt;=90,"61-90 Days","90+ Days")))))</f>
        <v>Paid</v>
      </c>
      <c r="N225" t="s">
        <v>17</v>
      </c>
    </row>
    <row r="226" spans="1:14">
      <c r="A226" t="s">
        <v>488</v>
      </c>
      <c r="B226" t="s">
        <v>489</v>
      </c>
      <c r="C226" t="s">
        <v>26</v>
      </c>
      <c r="D226" t="s">
        <v>66</v>
      </c>
      <c r="E226">
        <v>2026</v>
      </c>
      <c r="F226" s="3">
        <v>46026</v>
      </c>
      <c r="G226" s="3">
        <v>46210</v>
      </c>
      <c r="H226" s="4">
        <v>5022</v>
      </c>
      <c r="I226" s="4">
        <v>5022</v>
      </c>
      <c r="J226" s="4">
        <f>H226-I226</f>
        <v>0</v>
      </c>
      <c r="K226" s="3">
        <v>46210</v>
      </c>
      <c r="L226">
        <f t="shared" si="3"/>
        <v>0</v>
      </c>
      <c r="M226" t="str">
        <f>IF(J226&lt;=0,"Paid",IF(L226=0,"Current",IF(L226&lt;=30,"1-30 Days",IF(L226&lt;=60,"31-60 Days",IF(L226&lt;=90,"61-90 Days","90+ Days")))))</f>
        <v>Paid</v>
      </c>
      <c r="N226" t="s">
        <v>17</v>
      </c>
    </row>
    <row r="227" spans="1:14">
      <c r="A227" t="s">
        <v>490</v>
      </c>
      <c r="B227" t="s">
        <v>491</v>
      </c>
      <c r="C227" t="s">
        <v>25</v>
      </c>
      <c r="D227" t="s">
        <v>66</v>
      </c>
      <c r="E227">
        <v>2026</v>
      </c>
      <c r="F227" s="3">
        <v>45885</v>
      </c>
      <c r="G227" s="3">
        <v>46210</v>
      </c>
      <c r="H227" s="4">
        <v>4409</v>
      </c>
      <c r="I227" s="4">
        <v>4409</v>
      </c>
      <c r="J227" s="4">
        <f>H227-I227</f>
        <v>0</v>
      </c>
      <c r="K227" s="3">
        <v>46210</v>
      </c>
      <c r="L227">
        <f t="shared" si="3"/>
        <v>0</v>
      </c>
      <c r="M227" t="str">
        <f>IF(J227&lt;=0,"Paid",IF(L227=0,"Current",IF(L227&lt;=30,"1-30 Days",IF(L227&lt;=60,"31-60 Days",IF(L227&lt;=90,"61-90 Days","90+ Days")))))</f>
        <v>Paid</v>
      </c>
      <c r="N227" t="s">
        <v>17</v>
      </c>
    </row>
    <row r="228" spans="1:14">
      <c r="A228" t="s">
        <v>492</v>
      </c>
      <c r="B228" t="s">
        <v>493</v>
      </c>
      <c r="C228" t="s">
        <v>25</v>
      </c>
      <c r="D228" t="s">
        <v>66</v>
      </c>
      <c r="E228">
        <v>2026</v>
      </c>
      <c r="F228" s="3">
        <v>46165</v>
      </c>
      <c r="G228" s="3">
        <v>46210</v>
      </c>
      <c r="H228" s="4">
        <v>4015</v>
      </c>
      <c r="I228" s="4">
        <v>2050</v>
      </c>
      <c r="J228" s="4">
        <f>H228-I228</f>
        <v>1965</v>
      </c>
      <c r="K228" s="3">
        <v>46210</v>
      </c>
      <c r="L228">
        <f t="shared" si="3"/>
        <v>6</v>
      </c>
      <c r="M228" t="str">
        <f>IF(J228&lt;=0,"Paid",IF(L228=0,"Current",IF(L228&lt;=30,"1-30 Days",IF(L228&lt;=60,"31-60 Days",IF(L228&lt;=90,"61-90 Days","90+ Days")))))</f>
        <v>1-30 Days</v>
      </c>
      <c r="N228" t="s">
        <v>17</v>
      </c>
    </row>
    <row r="229" spans="1:14">
      <c r="A229" t="s">
        <v>494</v>
      </c>
      <c r="B229" t="s">
        <v>495</v>
      </c>
      <c r="C229" t="s">
        <v>25</v>
      </c>
      <c r="D229" t="s">
        <v>66</v>
      </c>
      <c r="E229">
        <v>2026</v>
      </c>
      <c r="F229" s="3">
        <v>46163</v>
      </c>
      <c r="G229" s="3">
        <v>46210</v>
      </c>
      <c r="H229" s="4">
        <v>4211</v>
      </c>
      <c r="I229" s="4">
        <v>4211</v>
      </c>
      <c r="J229" s="4">
        <f>H229-I229</f>
        <v>0</v>
      </c>
      <c r="K229" s="3">
        <v>46210</v>
      </c>
      <c r="L229">
        <f t="shared" si="3"/>
        <v>0</v>
      </c>
      <c r="M229" t="str">
        <f>IF(J229&lt;=0,"Paid",IF(L229=0,"Current",IF(L229&lt;=30,"1-30 Days",IF(L229&lt;=60,"31-60 Days",IF(L229&lt;=90,"61-90 Days","90+ Days")))))</f>
        <v>Paid</v>
      </c>
      <c r="N229" t="s">
        <v>17</v>
      </c>
    </row>
    <row r="230" spans="1:14">
      <c r="A230" t="s">
        <v>496</v>
      </c>
      <c r="B230" t="s">
        <v>109</v>
      </c>
      <c r="C230" t="s">
        <v>25</v>
      </c>
      <c r="D230" t="s">
        <v>66</v>
      </c>
      <c r="E230">
        <v>2026</v>
      </c>
      <c r="F230" s="3">
        <v>46052</v>
      </c>
      <c r="G230" s="3">
        <v>46210</v>
      </c>
      <c r="H230" s="4">
        <v>3902</v>
      </c>
      <c r="I230" s="4">
        <v>3902</v>
      </c>
      <c r="J230" s="4">
        <f>H230-I230</f>
        <v>0</v>
      </c>
      <c r="K230" s="3">
        <v>46210</v>
      </c>
      <c r="L230">
        <f t="shared" si="3"/>
        <v>0</v>
      </c>
      <c r="M230" t="str">
        <f>IF(J230&lt;=0,"Paid",IF(L230=0,"Current",IF(L230&lt;=30,"1-30 Days",IF(L230&lt;=60,"31-60 Days",IF(L230&lt;=90,"61-90 Days","90+ Days")))))</f>
        <v>Paid</v>
      </c>
      <c r="N230" t="s">
        <v>17</v>
      </c>
    </row>
    <row r="231" spans="1:14">
      <c r="A231" t="s">
        <v>497</v>
      </c>
      <c r="B231" t="s">
        <v>498</v>
      </c>
      <c r="C231" t="s">
        <v>25</v>
      </c>
      <c r="D231" t="s">
        <v>66</v>
      </c>
      <c r="E231">
        <v>2026</v>
      </c>
      <c r="F231" s="3">
        <v>45903</v>
      </c>
      <c r="G231" s="3">
        <v>46210</v>
      </c>
      <c r="H231" s="4">
        <v>4109</v>
      </c>
      <c r="I231" s="4">
        <v>4109</v>
      </c>
      <c r="J231" s="4">
        <f>H231-I231</f>
        <v>0</v>
      </c>
      <c r="K231" s="3">
        <v>46210</v>
      </c>
      <c r="L231">
        <f t="shared" si="3"/>
        <v>0</v>
      </c>
      <c r="M231" t="str">
        <f>IF(J231&lt;=0,"Paid",IF(L231=0,"Current",IF(L231&lt;=30,"1-30 Days",IF(L231&lt;=60,"31-60 Days",IF(L231&lt;=90,"61-90 Days","90+ Days")))))</f>
        <v>Paid</v>
      </c>
      <c r="N231" t="s">
        <v>17</v>
      </c>
    </row>
    <row r="232" spans="1:14">
      <c r="A232" t="s">
        <v>499</v>
      </c>
      <c r="B232" t="s">
        <v>500</v>
      </c>
      <c r="C232" t="s">
        <v>29</v>
      </c>
      <c r="D232" t="s">
        <v>66</v>
      </c>
      <c r="E232">
        <v>2026</v>
      </c>
      <c r="F232" s="3">
        <v>46050</v>
      </c>
      <c r="G232" s="3">
        <v>46210</v>
      </c>
      <c r="H232" s="4">
        <v>4362</v>
      </c>
      <c r="I232" s="4">
        <v>4362</v>
      </c>
      <c r="J232" s="4">
        <f>H232-I232</f>
        <v>0</v>
      </c>
      <c r="K232" s="3">
        <v>46210</v>
      </c>
      <c r="L232">
        <f t="shared" si="3"/>
        <v>0</v>
      </c>
      <c r="M232" t="str">
        <f>IF(J232&lt;=0,"Paid",IF(L232=0,"Current",IF(L232&lt;=30,"1-30 Days",IF(L232&lt;=60,"31-60 Days",IF(L232&lt;=90,"61-90 Days","90+ Days")))))</f>
        <v>Paid</v>
      </c>
      <c r="N232" t="s">
        <v>17</v>
      </c>
    </row>
    <row r="233" spans="1:14">
      <c r="A233" t="s">
        <v>501</v>
      </c>
      <c r="B233" t="s">
        <v>500</v>
      </c>
      <c r="C233" t="s">
        <v>26</v>
      </c>
      <c r="D233" t="s">
        <v>66</v>
      </c>
      <c r="E233">
        <v>2026</v>
      </c>
      <c r="F233" s="3">
        <v>45895</v>
      </c>
      <c r="G233" s="3">
        <v>46210</v>
      </c>
      <c r="H233" s="4">
        <v>5225</v>
      </c>
      <c r="I233" s="4">
        <v>5225</v>
      </c>
      <c r="J233" s="4">
        <f>H233-I233</f>
        <v>0</v>
      </c>
      <c r="K233" s="3">
        <v>46210</v>
      </c>
      <c r="L233">
        <f t="shared" si="3"/>
        <v>0</v>
      </c>
      <c r="M233" t="str">
        <f>IF(J233&lt;=0,"Paid",IF(L233=0,"Current",IF(L233&lt;=30,"1-30 Days",IF(L233&lt;=60,"31-60 Days",IF(L233&lt;=90,"61-90 Days","90+ Days")))))</f>
        <v>Paid</v>
      </c>
      <c r="N233" t="s">
        <v>17</v>
      </c>
    </row>
    <row r="234" spans="1:14">
      <c r="A234" t="s">
        <v>502</v>
      </c>
      <c r="B234" t="s">
        <v>81</v>
      </c>
      <c r="C234" t="s">
        <v>28</v>
      </c>
      <c r="D234" t="s">
        <v>66</v>
      </c>
      <c r="E234">
        <v>2026</v>
      </c>
      <c r="F234" s="3">
        <v>46051</v>
      </c>
      <c r="G234" s="3">
        <v>46210</v>
      </c>
      <c r="H234" s="4">
        <v>4061</v>
      </c>
      <c r="I234" s="4">
        <v>4061</v>
      </c>
      <c r="J234" s="4">
        <f>H234-I234</f>
        <v>0</v>
      </c>
      <c r="K234" s="3">
        <v>46210</v>
      </c>
      <c r="L234">
        <f t="shared" si="3"/>
        <v>0</v>
      </c>
      <c r="M234" t="str">
        <f>IF(J234&lt;=0,"Paid",IF(L234=0,"Current",IF(L234&lt;=30,"1-30 Days",IF(L234&lt;=60,"31-60 Days",IF(L234&lt;=90,"61-90 Days","90+ Days")))))</f>
        <v>Paid</v>
      </c>
      <c r="N234" t="s">
        <v>17</v>
      </c>
    </row>
    <row r="235" spans="1:14">
      <c r="A235" t="s">
        <v>503</v>
      </c>
      <c r="B235" t="s">
        <v>504</v>
      </c>
      <c r="C235" t="s">
        <v>26</v>
      </c>
      <c r="D235" t="s">
        <v>66</v>
      </c>
      <c r="E235">
        <v>2026</v>
      </c>
      <c r="F235" s="3">
        <v>45911</v>
      </c>
      <c r="G235" s="3">
        <v>46210</v>
      </c>
      <c r="H235" s="4">
        <v>4913</v>
      </c>
      <c r="I235" s="4">
        <v>4913</v>
      </c>
      <c r="J235" s="4">
        <f>H235-I235</f>
        <v>0</v>
      </c>
      <c r="K235" s="3">
        <v>46210</v>
      </c>
      <c r="L235">
        <f t="shared" si="3"/>
        <v>0</v>
      </c>
      <c r="M235" t="str">
        <f>IF(J235&lt;=0,"Paid",IF(L235=0,"Current",IF(L235&lt;=30,"1-30 Days",IF(L235&lt;=60,"31-60 Days",IF(L235&lt;=90,"61-90 Days","90+ Days")))))</f>
        <v>Paid</v>
      </c>
      <c r="N235" t="s">
        <v>17</v>
      </c>
    </row>
    <row r="236" spans="1:14">
      <c r="A236" t="s">
        <v>505</v>
      </c>
      <c r="B236" t="s">
        <v>506</v>
      </c>
      <c r="C236" t="s">
        <v>26</v>
      </c>
      <c r="D236" t="s">
        <v>66</v>
      </c>
      <c r="E236">
        <v>2026</v>
      </c>
      <c r="F236" s="3">
        <v>45900</v>
      </c>
      <c r="G236" s="3">
        <v>46210</v>
      </c>
      <c r="H236" s="4">
        <v>5259</v>
      </c>
      <c r="I236" s="4">
        <v>5259</v>
      </c>
      <c r="J236" s="4">
        <f>H236-I236</f>
        <v>0</v>
      </c>
      <c r="K236" s="3">
        <v>46210</v>
      </c>
      <c r="L236">
        <f t="shared" si="3"/>
        <v>0</v>
      </c>
      <c r="M236" t="str">
        <f>IF(J236&lt;=0,"Paid",IF(L236=0,"Current",IF(L236&lt;=30,"1-30 Days",IF(L236&lt;=60,"31-60 Days",IF(L236&lt;=90,"61-90 Days","90+ Days")))))</f>
        <v>Paid</v>
      </c>
      <c r="N236" t="s">
        <v>17</v>
      </c>
    </row>
    <row r="237" spans="1:14">
      <c r="A237" t="s">
        <v>507</v>
      </c>
      <c r="B237" t="s">
        <v>508</v>
      </c>
      <c r="C237" t="s">
        <v>26</v>
      </c>
      <c r="D237" t="s">
        <v>66</v>
      </c>
      <c r="E237">
        <v>2026</v>
      </c>
      <c r="F237" s="3">
        <v>46029</v>
      </c>
      <c r="G237" s="3">
        <v>46210</v>
      </c>
      <c r="H237" s="4">
        <v>4938</v>
      </c>
      <c r="I237" s="4">
        <v>4938</v>
      </c>
      <c r="J237" s="4">
        <f>H237-I237</f>
        <v>0</v>
      </c>
      <c r="K237" s="3">
        <v>46210</v>
      </c>
      <c r="L237">
        <f t="shared" si="3"/>
        <v>0</v>
      </c>
      <c r="M237" t="str">
        <f>IF(J237&lt;=0,"Paid",IF(L237=0,"Current",IF(L237&lt;=30,"1-30 Days",IF(L237&lt;=60,"31-60 Days",IF(L237&lt;=90,"61-90 Days","90+ Days")))))</f>
        <v>Paid</v>
      </c>
      <c r="N237" t="s">
        <v>17</v>
      </c>
    </row>
    <row r="238" spans="1:14">
      <c r="A238" t="s">
        <v>509</v>
      </c>
      <c r="B238" t="s">
        <v>510</v>
      </c>
      <c r="C238" t="s">
        <v>28</v>
      </c>
      <c r="D238" t="s">
        <v>66</v>
      </c>
      <c r="E238">
        <v>2026</v>
      </c>
      <c r="F238" s="3">
        <v>46150</v>
      </c>
      <c r="G238" s="3">
        <v>46210</v>
      </c>
      <c r="H238" s="4">
        <v>3761</v>
      </c>
      <c r="I238" s="4">
        <v>3761</v>
      </c>
      <c r="J238" s="4">
        <f>H238-I238</f>
        <v>0</v>
      </c>
      <c r="K238" s="3">
        <v>46210</v>
      </c>
      <c r="L238">
        <f t="shared" si="3"/>
        <v>0</v>
      </c>
      <c r="M238" t="str">
        <f>IF(J238&lt;=0,"Paid",IF(L238=0,"Current",IF(L238&lt;=30,"1-30 Days",IF(L238&lt;=60,"31-60 Days",IF(L238&lt;=90,"61-90 Days","90+ Days")))))</f>
        <v>Paid</v>
      </c>
      <c r="N238" t="s">
        <v>17</v>
      </c>
    </row>
    <row r="239" spans="1:14">
      <c r="A239" t="s">
        <v>511</v>
      </c>
      <c r="B239" t="s">
        <v>512</v>
      </c>
      <c r="C239" t="s">
        <v>25</v>
      </c>
      <c r="D239" t="s">
        <v>66</v>
      </c>
      <c r="E239">
        <v>2026</v>
      </c>
      <c r="F239" s="3">
        <v>45884</v>
      </c>
      <c r="G239" s="3">
        <v>46210</v>
      </c>
      <c r="H239" s="4">
        <v>3885</v>
      </c>
      <c r="I239" s="4">
        <v>3885</v>
      </c>
      <c r="J239" s="4">
        <f>H239-I239</f>
        <v>0</v>
      </c>
      <c r="K239" s="3">
        <v>46210</v>
      </c>
      <c r="L239">
        <f t="shared" si="3"/>
        <v>0</v>
      </c>
      <c r="M239" t="str">
        <f>IF(J239&lt;=0,"Paid",IF(L239=0,"Current",IF(L239&lt;=30,"1-30 Days",IF(L239&lt;=60,"31-60 Days",IF(L239&lt;=90,"61-90 Days","90+ Days")))))</f>
        <v>Paid</v>
      </c>
      <c r="N239" t="s">
        <v>17</v>
      </c>
    </row>
    <row r="240" spans="1:14">
      <c r="A240" t="s">
        <v>513</v>
      </c>
      <c r="B240" t="s">
        <v>514</v>
      </c>
      <c r="C240" t="s">
        <v>29</v>
      </c>
      <c r="D240" t="s">
        <v>66</v>
      </c>
      <c r="E240">
        <v>2026</v>
      </c>
      <c r="F240" s="3">
        <v>46021</v>
      </c>
      <c r="G240" s="3">
        <v>46210</v>
      </c>
      <c r="H240" s="4">
        <v>4125</v>
      </c>
      <c r="I240" s="4">
        <v>4125</v>
      </c>
      <c r="J240" s="4">
        <f>H240-I240</f>
        <v>0</v>
      </c>
      <c r="K240" s="3">
        <v>46210</v>
      </c>
      <c r="L240">
        <f t="shared" si="3"/>
        <v>0</v>
      </c>
      <c r="M240" t="str">
        <f>IF(J240&lt;=0,"Paid",IF(L240=0,"Current",IF(L240&lt;=30,"1-30 Days",IF(L240&lt;=60,"31-60 Days",IF(L240&lt;=90,"61-90 Days","90+ Days")))))</f>
        <v>Paid</v>
      </c>
      <c r="N240" t="s">
        <v>17</v>
      </c>
    </row>
    <row r="241" spans="1:14">
      <c r="A241" t="s">
        <v>515</v>
      </c>
      <c r="B241" t="s">
        <v>516</v>
      </c>
      <c r="C241" t="s">
        <v>25</v>
      </c>
      <c r="D241" t="s">
        <v>66</v>
      </c>
      <c r="E241">
        <v>2026</v>
      </c>
      <c r="F241" s="3">
        <v>45914</v>
      </c>
      <c r="G241" s="3">
        <v>46210</v>
      </c>
      <c r="H241" s="4">
        <v>4057</v>
      </c>
      <c r="I241" s="4">
        <v>4057</v>
      </c>
      <c r="J241" s="4">
        <f>H241-I241</f>
        <v>0</v>
      </c>
      <c r="K241" s="3">
        <v>46210</v>
      </c>
      <c r="L241">
        <f t="shared" si="3"/>
        <v>0</v>
      </c>
      <c r="M241" t="str">
        <f>IF(J241&lt;=0,"Paid",IF(L241=0,"Current",IF(L241&lt;=30,"1-30 Days",IF(L241&lt;=60,"31-60 Days",IF(L241&lt;=90,"61-90 Days","90+ Days")))))</f>
        <v>Paid</v>
      </c>
      <c r="N241" t="s">
        <v>17</v>
      </c>
    </row>
    <row r="242" spans="1:14">
      <c r="A242" t="s">
        <v>517</v>
      </c>
      <c r="B242" t="s">
        <v>518</v>
      </c>
      <c r="C242" t="s">
        <v>25</v>
      </c>
      <c r="D242" t="s">
        <v>66</v>
      </c>
      <c r="E242">
        <v>2026</v>
      </c>
      <c r="F242" s="3">
        <v>46033</v>
      </c>
      <c r="G242" s="3">
        <v>46210</v>
      </c>
      <c r="H242" s="4">
        <v>4026</v>
      </c>
      <c r="I242" s="4">
        <v>4026</v>
      </c>
      <c r="J242" s="4">
        <f>H242-I242</f>
        <v>0</v>
      </c>
      <c r="K242" s="3">
        <v>46210</v>
      </c>
      <c r="L242">
        <f t="shared" si="3"/>
        <v>0</v>
      </c>
      <c r="M242" t="str">
        <f>IF(J242&lt;=0,"Paid",IF(L242=0,"Current",IF(L242&lt;=30,"1-30 Days",IF(L242&lt;=60,"31-60 Days",IF(L242&lt;=90,"61-90 Days","90+ Days")))))</f>
        <v>Paid</v>
      </c>
      <c r="N242" t="s">
        <v>17</v>
      </c>
    </row>
    <row r="243" spans="1:14">
      <c r="A243" t="s">
        <v>519</v>
      </c>
      <c r="B243" t="s">
        <v>520</v>
      </c>
      <c r="C243" t="s">
        <v>25</v>
      </c>
      <c r="D243" t="s">
        <v>66</v>
      </c>
      <c r="E243">
        <v>2026</v>
      </c>
      <c r="F243" s="3">
        <v>45886</v>
      </c>
      <c r="G243" s="3">
        <v>46210</v>
      </c>
      <c r="H243" s="4">
        <v>4018</v>
      </c>
      <c r="I243" s="4">
        <v>4018</v>
      </c>
      <c r="J243" s="4">
        <f>H243-I243</f>
        <v>0</v>
      </c>
      <c r="K243" s="3">
        <v>46210</v>
      </c>
      <c r="L243">
        <f t="shared" si="3"/>
        <v>0</v>
      </c>
      <c r="M243" t="str">
        <f>IF(J243&lt;=0,"Paid",IF(L243=0,"Current",IF(L243&lt;=30,"1-30 Days",IF(L243&lt;=60,"31-60 Days",IF(L243&lt;=90,"61-90 Days","90+ Days")))))</f>
        <v>Paid</v>
      </c>
      <c r="N243" t="s">
        <v>17</v>
      </c>
    </row>
    <row r="244" spans="1:14">
      <c r="A244" t="s">
        <v>521</v>
      </c>
      <c r="B244" t="s">
        <v>522</v>
      </c>
      <c r="C244" t="s">
        <v>27</v>
      </c>
      <c r="D244" t="s">
        <v>66</v>
      </c>
      <c r="E244">
        <v>2026</v>
      </c>
      <c r="F244" s="3">
        <v>46032</v>
      </c>
      <c r="G244" s="3">
        <v>46210</v>
      </c>
      <c r="H244" s="4">
        <v>4296</v>
      </c>
      <c r="I244" s="4">
        <v>4296</v>
      </c>
      <c r="J244" s="4">
        <f>H244-I244</f>
        <v>0</v>
      </c>
      <c r="K244" s="3">
        <v>46210</v>
      </c>
      <c r="L244">
        <f t="shared" si="3"/>
        <v>0</v>
      </c>
      <c r="M244" t="str">
        <f>IF(J244&lt;=0,"Paid",IF(L244=0,"Current",IF(L244&lt;=30,"1-30 Days",IF(L244&lt;=60,"31-60 Days",IF(L244&lt;=90,"61-90 Days","90+ Days")))))</f>
        <v>Paid</v>
      </c>
      <c r="N244" t="s">
        <v>17</v>
      </c>
    </row>
    <row r="245" spans="1:14">
      <c r="A245" t="s">
        <v>523</v>
      </c>
      <c r="B245" t="s">
        <v>524</v>
      </c>
      <c r="C245" t="s">
        <v>25</v>
      </c>
      <c r="D245" t="s">
        <v>66</v>
      </c>
      <c r="E245">
        <v>2026</v>
      </c>
      <c r="F245" s="3">
        <v>46032</v>
      </c>
      <c r="G245" s="3">
        <v>46210</v>
      </c>
      <c r="H245" s="4">
        <v>3000</v>
      </c>
      <c r="I245" s="4">
        <v>2000</v>
      </c>
      <c r="J245" s="4">
        <f>H245-I245</f>
        <v>1000</v>
      </c>
      <c r="K245" s="3">
        <v>46210</v>
      </c>
      <c r="L245">
        <f t="shared" si="3"/>
        <v>6</v>
      </c>
      <c r="M245" t="str">
        <f>IF(J245&lt;=0,"Paid",IF(L245=0,"Current",IF(L245&lt;=30,"1-30 Days",IF(L245&lt;=60,"31-60 Days",IF(L245&lt;=90,"61-90 Days","90+ Days")))))</f>
        <v>1-30 Days</v>
      </c>
      <c r="N245" t="s">
        <v>17</v>
      </c>
    </row>
    <row r="246" spans="1:14">
      <c r="A246" t="s">
        <v>525</v>
      </c>
      <c r="B246" t="s">
        <v>526</v>
      </c>
      <c r="C246" t="s">
        <v>26</v>
      </c>
      <c r="D246" t="s">
        <v>66</v>
      </c>
      <c r="E246">
        <v>2026</v>
      </c>
      <c r="F246" s="3">
        <v>46169</v>
      </c>
      <c r="G246" s="3">
        <v>46210</v>
      </c>
      <c r="H246" s="4">
        <v>5231</v>
      </c>
      <c r="I246" s="4">
        <v>5231</v>
      </c>
      <c r="J246" s="4">
        <f>H246-I246</f>
        <v>0</v>
      </c>
      <c r="K246" s="3">
        <v>46210</v>
      </c>
      <c r="L246">
        <f t="shared" si="3"/>
        <v>0</v>
      </c>
      <c r="M246" t="str">
        <f>IF(J246&lt;=0,"Paid",IF(L246=0,"Current",IF(L246&lt;=30,"1-30 Days",IF(L246&lt;=60,"31-60 Days",IF(L246&lt;=90,"61-90 Days","90+ Days")))))</f>
        <v>Paid</v>
      </c>
      <c r="N246" t="s">
        <v>17</v>
      </c>
    </row>
    <row r="247" spans="1:14">
      <c r="A247" t="s">
        <v>527</v>
      </c>
      <c r="B247" t="s">
        <v>528</v>
      </c>
      <c r="C247" t="s">
        <v>28</v>
      </c>
      <c r="D247" t="s">
        <v>66</v>
      </c>
      <c r="E247">
        <v>2026</v>
      </c>
      <c r="F247" s="3">
        <v>45913</v>
      </c>
      <c r="G247" s="3">
        <v>46210</v>
      </c>
      <c r="H247" s="4">
        <v>3827</v>
      </c>
      <c r="I247" s="4">
        <v>3827</v>
      </c>
      <c r="J247" s="4">
        <f>H247-I247</f>
        <v>0</v>
      </c>
      <c r="K247" s="3">
        <v>46210</v>
      </c>
      <c r="L247">
        <f t="shared" si="3"/>
        <v>0</v>
      </c>
      <c r="M247" t="str">
        <f>IF(J247&lt;=0,"Paid",IF(L247=0,"Current",IF(L247&lt;=30,"1-30 Days",IF(L247&lt;=60,"31-60 Days",IF(L247&lt;=90,"61-90 Days","90+ Days")))))</f>
        <v>Paid</v>
      </c>
      <c r="N247" t="s">
        <v>17</v>
      </c>
    </row>
    <row r="248" spans="1:14">
      <c r="A248" t="s">
        <v>529</v>
      </c>
      <c r="B248" t="s">
        <v>530</v>
      </c>
      <c r="C248" t="s">
        <v>27</v>
      </c>
      <c r="D248" t="s">
        <v>66</v>
      </c>
      <c r="E248">
        <v>2026</v>
      </c>
      <c r="F248" s="3">
        <v>46161</v>
      </c>
      <c r="G248" s="3">
        <v>46210</v>
      </c>
      <c r="H248" s="4">
        <v>4641</v>
      </c>
      <c r="I248" s="4">
        <v>4641</v>
      </c>
      <c r="J248" s="4">
        <f>H248-I248</f>
        <v>0</v>
      </c>
      <c r="K248" s="3">
        <v>46210</v>
      </c>
      <c r="L248">
        <f t="shared" si="3"/>
        <v>0</v>
      </c>
      <c r="M248" t="str">
        <f>IF(J248&lt;=0,"Paid",IF(L248=0,"Current",IF(L248&lt;=30,"1-30 Days",IF(L248&lt;=60,"31-60 Days",IF(L248&lt;=90,"61-90 Days","90+ Days")))))</f>
        <v>Paid</v>
      </c>
      <c r="N248" t="s">
        <v>17</v>
      </c>
    </row>
    <row r="249" spans="1:14">
      <c r="A249" t="s">
        <v>531</v>
      </c>
      <c r="B249" t="s">
        <v>532</v>
      </c>
      <c r="C249" t="s">
        <v>26</v>
      </c>
      <c r="D249" t="s">
        <v>66</v>
      </c>
      <c r="E249">
        <v>2026</v>
      </c>
      <c r="F249" s="3">
        <v>45895</v>
      </c>
      <c r="G249" s="3">
        <v>46210</v>
      </c>
      <c r="H249" s="4">
        <v>5258</v>
      </c>
      <c r="I249" s="4">
        <v>5258</v>
      </c>
      <c r="J249" s="4">
        <f>H249-I249</f>
        <v>0</v>
      </c>
      <c r="K249" s="3">
        <v>46210</v>
      </c>
      <c r="L249">
        <f t="shared" si="3"/>
        <v>0</v>
      </c>
      <c r="M249" t="str">
        <f>IF(J249&lt;=0,"Paid",IF(L249=0,"Current",IF(L249&lt;=30,"1-30 Days",IF(L249&lt;=60,"31-60 Days",IF(L249&lt;=90,"61-90 Days","90+ Days")))))</f>
        <v>Paid</v>
      </c>
      <c r="N249" t="s">
        <v>17</v>
      </c>
    </row>
    <row r="250" spans="1:14">
      <c r="A250" t="s">
        <v>533</v>
      </c>
      <c r="B250" t="s">
        <v>534</v>
      </c>
      <c r="C250" t="s">
        <v>25</v>
      </c>
      <c r="D250" t="s">
        <v>66</v>
      </c>
      <c r="E250">
        <v>2026</v>
      </c>
      <c r="F250" s="3">
        <v>45907</v>
      </c>
      <c r="G250" s="3">
        <v>46210</v>
      </c>
      <c r="H250" s="4">
        <v>4040</v>
      </c>
      <c r="I250" s="4">
        <v>4040</v>
      </c>
      <c r="J250" s="4">
        <f>H250-I250</f>
        <v>0</v>
      </c>
      <c r="K250" s="3">
        <v>46210</v>
      </c>
      <c r="L250">
        <f t="shared" si="3"/>
        <v>0</v>
      </c>
      <c r="M250" t="str">
        <f>IF(J250&lt;=0,"Paid",IF(L250=0,"Current",IF(L250&lt;=30,"1-30 Days",IF(L250&lt;=60,"31-60 Days",IF(L250&lt;=90,"61-90 Days","90+ Days")))))</f>
        <v>Paid</v>
      </c>
      <c r="N250" t="s">
        <v>17</v>
      </c>
    </row>
    <row r="251" spans="1:14">
      <c r="A251" t="s">
        <v>535</v>
      </c>
      <c r="B251" t="s">
        <v>518</v>
      </c>
      <c r="C251" t="s">
        <v>25</v>
      </c>
      <c r="D251" t="s">
        <v>66</v>
      </c>
      <c r="E251">
        <v>2026</v>
      </c>
      <c r="F251" s="3">
        <v>45914</v>
      </c>
      <c r="G251" s="3">
        <v>46210</v>
      </c>
      <c r="H251" s="4">
        <v>3868</v>
      </c>
      <c r="I251" s="4">
        <v>3868</v>
      </c>
      <c r="J251" s="4">
        <f>H251-I251</f>
        <v>0</v>
      </c>
      <c r="K251" s="3">
        <v>46210</v>
      </c>
      <c r="L251">
        <f t="shared" si="3"/>
        <v>0</v>
      </c>
      <c r="M251" t="str">
        <f>IF(J251&lt;=0,"Paid",IF(L251=0,"Current",IF(L251&lt;=30,"1-30 Days",IF(L251&lt;=60,"31-60 Days",IF(L251&lt;=90,"61-90 Days","90+ Days")))))</f>
        <v>Paid</v>
      </c>
      <c r="N251" t="s">
        <v>17</v>
      </c>
    </row>
    <row r="252" spans="1:14">
      <c r="A252" t="s">
        <v>536</v>
      </c>
      <c r="B252" t="s">
        <v>537</v>
      </c>
      <c r="C252" t="s">
        <v>27</v>
      </c>
      <c r="D252" t="s">
        <v>66</v>
      </c>
      <c r="E252">
        <v>2026</v>
      </c>
      <c r="F252" s="3">
        <v>46178</v>
      </c>
      <c r="G252" s="3">
        <v>46210</v>
      </c>
      <c r="H252" s="4">
        <v>4471</v>
      </c>
      <c r="I252" s="4">
        <v>4471</v>
      </c>
      <c r="J252" s="4">
        <f>H252-I252</f>
        <v>0</v>
      </c>
      <c r="K252" s="3">
        <v>46210</v>
      </c>
      <c r="L252">
        <f t="shared" si="3"/>
        <v>0</v>
      </c>
      <c r="M252" t="str">
        <f>IF(J252&lt;=0,"Paid",IF(L252=0,"Current",IF(L252&lt;=30,"1-30 Days",IF(L252&lt;=60,"31-60 Days",IF(L252&lt;=90,"61-90 Days","90+ Days")))))</f>
        <v>Paid</v>
      </c>
      <c r="N252" t="s">
        <v>17</v>
      </c>
    </row>
    <row r="253" spans="1:14">
      <c r="A253" t="s">
        <v>538</v>
      </c>
      <c r="B253" t="s">
        <v>539</v>
      </c>
      <c r="C253" t="s">
        <v>25</v>
      </c>
      <c r="D253" t="s">
        <v>66</v>
      </c>
      <c r="E253">
        <v>2026</v>
      </c>
      <c r="F253" s="3">
        <v>46177</v>
      </c>
      <c r="G253" s="3">
        <v>46210</v>
      </c>
      <c r="H253" s="4">
        <v>3916</v>
      </c>
      <c r="I253" s="4">
        <v>3916</v>
      </c>
      <c r="J253" s="4">
        <f>H253-I253</f>
        <v>0</v>
      </c>
      <c r="K253" s="3">
        <v>46210</v>
      </c>
      <c r="L253">
        <f t="shared" si="3"/>
        <v>0</v>
      </c>
      <c r="M253" t="str">
        <f>IF(J253&lt;=0,"Paid",IF(L253=0,"Current",IF(L253&lt;=30,"1-30 Days",IF(L253&lt;=60,"31-60 Days",IF(L253&lt;=90,"61-90 Days","90+ Days")))))</f>
        <v>Paid</v>
      </c>
      <c r="N253" t="s">
        <v>17</v>
      </c>
    </row>
    <row r="254" spans="1:14">
      <c r="A254" t="s">
        <v>540</v>
      </c>
      <c r="B254" t="s">
        <v>541</v>
      </c>
      <c r="C254" t="s">
        <v>28</v>
      </c>
      <c r="D254" t="s">
        <v>66</v>
      </c>
      <c r="E254">
        <v>2026</v>
      </c>
      <c r="F254" s="3">
        <v>45893</v>
      </c>
      <c r="G254" s="3">
        <v>46210</v>
      </c>
      <c r="H254" s="4">
        <v>4205</v>
      </c>
      <c r="I254" s="4">
        <v>4205</v>
      </c>
      <c r="J254" s="4">
        <f>H254-I254</f>
        <v>0</v>
      </c>
      <c r="K254" s="3">
        <v>46210</v>
      </c>
      <c r="L254">
        <f t="shared" si="3"/>
        <v>0</v>
      </c>
      <c r="M254" t="str">
        <f>IF(J254&lt;=0,"Paid",IF(L254=0,"Current",IF(L254&lt;=30,"1-30 Days",IF(L254&lt;=60,"31-60 Days",IF(L254&lt;=90,"61-90 Days","90+ Days")))))</f>
        <v>Paid</v>
      </c>
      <c r="N254" t="s">
        <v>17</v>
      </c>
    </row>
    <row r="255" spans="1:14">
      <c r="A255" t="s">
        <v>542</v>
      </c>
      <c r="B255" t="s">
        <v>543</v>
      </c>
      <c r="C255" t="s">
        <v>28</v>
      </c>
      <c r="D255" t="s">
        <v>66</v>
      </c>
      <c r="E255">
        <v>2026</v>
      </c>
      <c r="F255" s="3">
        <v>46033</v>
      </c>
      <c r="G255" s="3">
        <v>46210</v>
      </c>
      <c r="H255" s="4">
        <v>4191</v>
      </c>
      <c r="I255" s="4">
        <v>4191</v>
      </c>
      <c r="J255" s="4">
        <f>H255-I255</f>
        <v>0</v>
      </c>
      <c r="K255" s="3">
        <v>46210</v>
      </c>
      <c r="L255">
        <f t="shared" si="3"/>
        <v>0</v>
      </c>
      <c r="M255" t="str">
        <f>IF(J255&lt;=0,"Paid",IF(L255=0,"Current",IF(L255&lt;=30,"1-30 Days",IF(L255&lt;=60,"31-60 Days",IF(L255&lt;=90,"61-90 Days","90+ Days")))))</f>
        <v>Paid</v>
      </c>
      <c r="N255" t="s">
        <v>17</v>
      </c>
    </row>
    <row r="256" spans="1:14">
      <c r="A256" t="s">
        <v>544</v>
      </c>
      <c r="B256" t="s">
        <v>545</v>
      </c>
      <c r="C256" t="s">
        <v>27</v>
      </c>
      <c r="D256" t="s">
        <v>66</v>
      </c>
      <c r="E256">
        <v>2026</v>
      </c>
      <c r="F256" s="3">
        <v>45905</v>
      </c>
      <c r="G256" s="3">
        <v>46210</v>
      </c>
      <c r="H256" s="4">
        <v>4403</v>
      </c>
      <c r="I256" s="4">
        <v>4403</v>
      </c>
      <c r="J256" s="4">
        <f>H256-I256</f>
        <v>0</v>
      </c>
      <c r="K256" s="3">
        <v>46210</v>
      </c>
      <c r="L256">
        <f t="shared" si="3"/>
        <v>0</v>
      </c>
      <c r="M256" t="str">
        <f>IF(J256&lt;=0,"Paid",IF(L256=0,"Current",IF(L256&lt;=30,"1-30 Days",IF(L256&lt;=60,"31-60 Days",IF(L256&lt;=90,"61-90 Days","90+ Days")))))</f>
        <v>Paid</v>
      </c>
      <c r="N256" t="s">
        <v>17</v>
      </c>
    </row>
    <row r="257" spans="1:14">
      <c r="A257" t="s">
        <v>546</v>
      </c>
      <c r="B257" t="s">
        <v>290</v>
      </c>
      <c r="C257" t="s">
        <v>25</v>
      </c>
      <c r="D257" t="s">
        <v>66</v>
      </c>
      <c r="E257">
        <v>2026</v>
      </c>
      <c r="F257" s="3">
        <v>46157</v>
      </c>
      <c r="G257" s="3">
        <v>46210</v>
      </c>
      <c r="H257" s="4">
        <v>3970</v>
      </c>
      <c r="I257" s="4">
        <v>3970</v>
      </c>
      <c r="J257" s="4">
        <f>H257-I257</f>
        <v>0</v>
      </c>
      <c r="K257" s="3">
        <v>46210</v>
      </c>
      <c r="L257">
        <f t="shared" si="3"/>
        <v>0</v>
      </c>
      <c r="M257" t="str">
        <f>IF(J257&lt;=0,"Paid",IF(L257=0,"Current",IF(L257&lt;=30,"1-30 Days",IF(L257&lt;=60,"31-60 Days",IF(L257&lt;=90,"61-90 Days","90+ Days")))))</f>
        <v>Paid</v>
      </c>
      <c r="N257" t="s">
        <v>17</v>
      </c>
    </row>
    <row r="258" spans="1:14">
      <c r="A258" t="s">
        <v>547</v>
      </c>
      <c r="B258" t="s">
        <v>548</v>
      </c>
      <c r="C258" t="s">
        <v>26</v>
      </c>
      <c r="D258" t="s">
        <v>66</v>
      </c>
      <c r="E258">
        <v>2026</v>
      </c>
      <c r="F258" s="3">
        <v>46042</v>
      </c>
      <c r="G258" s="3">
        <v>46210</v>
      </c>
      <c r="H258" s="4">
        <v>1800</v>
      </c>
      <c r="I258" s="4">
        <v>1200</v>
      </c>
      <c r="J258" s="4">
        <f>H258-I258</f>
        <v>600</v>
      </c>
      <c r="K258" s="3">
        <v>46210</v>
      </c>
      <c r="L258">
        <f t="shared" si="3"/>
        <v>6</v>
      </c>
      <c r="M258" t="str">
        <f>IF(J258&lt;=0,"Paid",IF(L258=0,"Current",IF(L258&lt;=30,"1-30 Days",IF(L258&lt;=60,"31-60 Days",IF(L258&lt;=90,"61-90 Days","90+ Days")))))</f>
        <v>1-30 Days</v>
      </c>
      <c r="N258" t="s">
        <v>17</v>
      </c>
    </row>
    <row r="259" spans="1:14">
      <c r="A259" t="s">
        <v>549</v>
      </c>
      <c r="B259" t="s">
        <v>550</v>
      </c>
      <c r="C259" t="s">
        <v>26</v>
      </c>
      <c r="D259" t="s">
        <v>66</v>
      </c>
      <c r="E259">
        <v>2026</v>
      </c>
      <c r="F259" s="3">
        <v>45881</v>
      </c>
      <c r="G259" s="3">
        <v>46210</v>
      </c>
      <c r="H259" s="4">
        <v>4747</v>
      </c>
      <c r="I259" s="4">
        <v>4747</v>
      </c>
      <c r="J259" s="4">
        <f>H259-I259</f>
        <v>0</v>
      </c>
      <c r="K259" s="3">
        <v>46210</v>
      </c>
      <c r="L259">
        <f t="shared" ref="L259:L281" si="4">IF(J259&lt;=0,0,MAX(0,$O$3-K259))</f>
        <v>0</v>
      </c>
      <c r="M259" t="str">
        <f>IF(J259&lt;=0,"Paid",IF(L259=0,"Current",IF(L259&lt;=30,"1-30 Days",IF(L259&lt;=60,"31-60 Days",IF(L259&lt;=90,"61-90 Days","90+ Days")))))</f>
        <v>Paid</v>
      </c>
      <c r="N259" t="s">
        <v>17</v>
      </c>
    </row>
    <row r="260" spans="1:14">
      <c r="A260" t="s">
        <v>551</v>
      </c>
      <c r="B260" t="s">
        <v>552</v>
      </c>
      <c r="C260" t="s">
        <v>25</v>
      </c>
      <c r="D260" t="s">
        <v>66</v>
      </c>
      <c r="E260">
        <v>2026</v>
      </c>
      <c r="F260" s="3">
        <v>46178</v>
      </c>
      <c r="G260" s="3">
        <v>46210</v>
      </c>
      <c r="H260" s="4">
        <v>4015</v>
      </c>
      <c r="I260" s="4">
        <v>2700</v>
      </c>
      <c r="J260" s="4">
        <f>H260-I260</f>
        <v>1315</v>
      </c>
      <c r="K260" s="3">
        <v>46210</v>
      </c>
      <c r="L260">
        <f t="shared" si="4"/>
        <v>6</v>
      </c>
      <c r="M260" t="str">
        <f>IF(J260&lt;=0,"Paid",IF(L260=0,"Current",IF(L260&lt;=30,"1-30 Days",IF(L260&lt;=60,"31-60 Days",IF(L260&lt;=90,"61-90 Days","90+ Days")))))</f>
        <v>1-30 Days</v>
      </c>
      <c r="N260" t="s">
        <v>17</v>
      </c>
    </row>
    <row r="261" spans="1:14">
      <c r="A261" t="s">
        <v>553</v>
      </c>
      <c r="B261" t="s">
        <v>554</v>
      </c>
      <c r="C261" t="s">
        <v>29</v>
      </c>
      <c r="D261" t="s">
        <v>66</v>
      </c>
      <c r="E261">
        <v>2026</v>
      </c>
      <c r="F261" s="3">
        <v>46022</v>
      </c>
      <c r="G261" s="3">
        <v>46210</v>
      </c>
      <c r="H261" s="4">
        <v>3869</v>
      </c>
      <c r="I261" s="4">
        <v>3869</v>
      </c>
      <c r="J261" s="4">
        <f>H261-I261</f>
        <v>0</v>
      </c>
      <c r="K261" s="3">
        <v>46210</v>
      </c>
      <c r="L261">
        <f t="shared" si="4"/>
        <v>0</v>
      </c>
      <c r="M261" t="str">
        <f>IF(J261&lt;=0,"Paid",IF(L261=0,"Current",IF(L261&lt;=30,"1-30 Days",IF(L261&lt;=60,"31-60 Days",IF(L261&lt;=90,"61-90 Days","90+ Days")))))</f>
        <v>Paid</v>
      </c>
      <c r="N261" t="s">
        <v>17</v>
      </c>
    </row>
    <row r="262" spans="1:14">
      <c r="A262" t="s">
        <v>555</v>
      </c>
      <c r="B262" t="s">
        <v>556</v>
      </c>
      <c r="C262" t="s">
        <v>29</v>
      </c>
      <c r="D262" t="s">
        <v>66</v>
      </c>
      <c r="E262">
        <v>2026</v>
      </c>
      <c r="F262" s="3">
        <v>46045</v>
      </c>
      <c r="G262" s="3">
        <v>46210</v>
      </c>
      <c r="H262" s="4">
        <v>4259</v>
      </c>
      <c r="I262" s="4">
        <v>4259</v>
      </c>
      <c r="J262" s="4">
        <f>H262-I262</f>
        <v>0</v>
      </c>
      <c r="K262" s="3">
        <v>46210</v>
      </c>
      <c r="L262">
        <f t="shared" si="4"/>
        <v>0</v>
      </c>
      <c r="M262" t="str">
        <f>IF(J262&lt;=0,"Paid",IF(L262=0,"Current",IF(L262&lt;=30,"1-30 Days",IF(L262&lt;=60,"31-60 Days",IF(L262&lt;=90,"61-90 Days","90+ Days")))))</f>
        <v>Paid</v>
      </c>
      <c r="N262" t="s">
        <v>17</v>
      </c>
    </row>
    <row r="263" spans="1:14">
      <c r="A263" t="s">
        <v>557</v>
      </c>
      <c r="B263" t="s">
        <v>248</v>
      </c>
      <c r="C263" t="s">
        <v>27</v>
      </c>
      <c r="D263" t="s">
        <v>66</v>
      </c>
      <c r="E263">
        <v>2026</v>
      </c>
      <c r="F263" s="3">
        <v>45909</v>
      </c>
      <c r="G263" s="3">
        <v>46210</v>
      </c>
      <c r="H263" s="4">
        <v>4420</v>
      </c>
      <c r="I263" s="4">
        <v>4420</v>
      </c>
      <c r="J263" s="4">
        <f>H263-I263</f>
        <v>0</v>
      </c>
      <c r="K263" s="3">
        <v>46210</v>
      </c>
      <c r="L263">
        <f t="shared" si="4"/>
        <v>0</v>
      </c>
      <c r="M263" t="str">
        <f>IF(J263&lt;=0,"Paid",IF(L263=0,"Current",IF(L263&lt;=30,"1-30 Days",IF(L263&lt;=60,"31-60 Days",IF(L263&lt;=90,"61-90 Days","90+ Days")))))</f>
        <v>Paid</v>
      </c>
      <c r="N263" t="s">
        <v>17</v>
      </c>
    </row>
    <row r="264" spans="1:14">
      <c r="A264" t="s">
        <v>558</v>
      </c>
      <c r="B264" t="s">
        <v>559</v>
      </c>
      <c r="C264" t="s">
        <v>26</v>
      </c>
      <c r="D264" t="s">
        <v>66</v>
      </c>
      <c r="E264">
        <v>2026</v>
      </c>
      <c r="F264" s="3">
        <v>46024</v>
      </c>
      <c r="G264" s="3">
        <v>46210</v>
      </c>
      <c r="H264" s="4">
        <v>4901</v>
      </c>
      <c r="I264" s="4">
        <v>4901</v>
      </c>
      <c r="J264" s="4">
        <f>H264-I264</f>
        <v>0</v>
      </c>
      <c r="K264" s="3">
        <v>46210</v>
      </c>
      <c r="L264">
        <f t="shared" si="4"/>
        <v>0</v>
      </c>
      <c r="M264" t="str">
        <f>IF(J264&lt;=0,"Paid",IF(L264=0,"Current",IF(L264&lt;=30,"1-30 Days",IF(L264&lt;=60,"31-60 Days",IF(L264&lt;=90,"61-90 Days","90+ Days")))))</f>
        <v>Paid</v>
      </c>
      <c r="N264" t="s">
        <v>17</v>
      </c>
    </row>
    <row r="265" spans="1:14">
      <c r="A265" t="s">
        <v>560</v>
      </c>
      <c r="B265" t="s">
        <v>561</v>
      </c>
      <c r="C265" t="s">
        <v>25</v>
      </c>
      <c r="D265" t="s">
        <v>66</v>
      </c>
      <c r="E265">
        <v>2026</v>
      </c>
      <c r="F265" s="3">
        <v>45909</v>
      </c>
      <c r="G265" s="3">
        <v>46210</v>
      </c>
      <c r="H265" s="4">
        <v>4117</v>
      </c>
      <c r="I265" s="4">
        <v>4117</v>
      </c>
      <c r="J265" s="4">
        <f>H265-I265</f>
        <v>0</v>
      </c>
      <c r="K265" s="3">
        <v>46210</v>
      </c>
      <c r="L265">
        <f t="shared" si="4"/>
        <v>0</v>
      </c>
      <c r="M265" t="str">
        <f>IF(J265&lt;=0,"Paid",IF(L265=0,"Current",IF(L265&lt;=30,"1-30 Days",IF(L265&lt;=60,"31-60 Days",IF(L265&lt;=90,"61-90 Days","90+ Days")))))</f>
        <v>Paid</v>
      </c>
      <c r="N265" t="s">
        <v>17</v>
      </c>
    </row>
    <row r="266" spans="1:14">
      <c r="A266" t="s">
        <v>562</v>
      </c>
      <c r="B266" t="s">
        <v>464</v>
      </c>
      <c r="C266" t="s">
        <v>26</v>
      </c>
      <c r="D266" t="s">
        <v>66</v>
      </c>
      <c r="E266">
        <v>2026</v>
      </c>
      <c r="F266" s="3">
        <v>45893</v>
      </c>
      <c r="G266" s="3">
        <v>46210</v>
      </c>
      <c r="H266" s="4">
        <v>4753</v>
      </c>
      <c r="I266" s="4">
        <v>4753</v>
      </c>
      <c r="J266" s="4">
        <f>H266-I266</f>
        <v>0</v>
      </c>
      <c r="K266" s="3">
        <v>46210</v>
      </c>
      <c r="L266">
        <f t="shared" si="4"/>
        <v>0</v>
      </c>
      <c r="M266" t="str">
        <f>IF(J266&lt;=0,"Paid",IF(L266=0,"Current",IF(L266&lt;=30,"1-30 Days",IF(L266&lt;=60,"31-60 Days",IF(L266&lt;=90,"61-90 Days","90+ Days")))))</f>
        <v>Paid</v>
      </c>
      <c r="N266" t="s">
        <v>17</v>
      </c>
    </row>
    <row r="267" spans="1:14">
      <c r="A267" t="s">
        <v>563</v>
      </c>
      <c r="B267" t="s">
        <v>564</v>
      </c>
      <c r="C267" t="s">
        <v>29</v>
      </c>
      <c r="D267" t="s">
        <v>66</v>
      </c>
      <c r="E267">
        <v>2026</v>
      </c>
      <c r="F267" s="3">
        <v>46042</v>
      </c>
      <c r="G267" s="3">
        <v>46210</v>
      </c>
      <c r="H267" s="4">
        <v>4354</v>
      </c>
      <c r="I267" s="4">
        <v>4354</v>
      </c>
      <c r="J267" s="4">
        <f>H267-I267</f>
        <v>0</v>
      </c>
      <c r="K267" s="3">
        <v>46210</v>
      </c>
      <c r="L267">
        <f t="shared" si="4"/>
        <v>0</v>
      </c>
      <c r="M267" t="str">
        <f>IF(J267&lt;=0,"Paid",IF(L267=0,"Current",IF(L267&lt;=30,"1-30 Days",IF(L267&lt;=60,"31-60 Days",IF(L267&lt;=90,"61-90 Days","90+ Days")))))</f>
        <v>Paid</v>
      </c>
      <c r="N267" t="s">
        <v>15</v>
      </c>
    </row>
    <row r="268" spans="1:14">
      <c r="A268" t="s">
        <v>565</v>
      </c>
      <c r="B268" t="s">
        <v>201</v>
      </c>
      <c r="C268" t="s">
        <v>27</v>
      </c>
      <c r="D268" t="s">
        <v>66</v>
      </c>
      <c r="E268">
        <v>2026</v>
      </c>
      <c r="F268" s="3">
        <v>46027</v>
      </c>
      <c r="G268" s="3">
        <v>46210</v>
      </c>
      <c r="H268" s="4">
        <v>4867</v>
      </c>
      <c r="I268" s="4">
        <v>4867</v>
      </c>
      <c r="J268" s="4">
        <f>H268-I268</f>
        <v>0</v>
      </c>
      <c r="K268" s="3">
        <v>46210</v>
      </c>
      <c r="L268">
        <f t="shared" si="4"/>
        <v>0</v>
      </c>
      <c r="M268" t="str">
        <f>IF(J268&lt;=0,"Paid",IF(L268=0,"Current",IF(L268&lt;=30,"1-30 Days",IF(L268&lt;=60,"31-60 Days",IF(L268&lt;=90,"61-90 Days","90+ Days")))))</f>
        <v>Paid</v>
      </c>
      <c r="N268" t="s">
        <v>17</v>
      </c>
    </row>
    <row r="269" spans="1:14">
      <c r="A269" t="s">
        <v>566</v>
      </c>
      <c r="B269" t="s">
        <v>567</v>
      </c>
      <c r="C269" t="s">
        <v>29</v>
      </c>
      <c r="D269" t="s">
        <v>66</v>
      </c>
      <c r="E269">
        <v>2026</v>
      </c>
      <c r="F269" s="3">
        <v>45899</v>
      </c>
      <c r="G269" s="3">
        <v>46210</v>
      </c>
      <c r="H269" s="4">
        <v>4399</v>
      </c>
      <c r="I269" s="4">
        <v>4399</v>
      </c>
      <c r="J269" s="4">
        <f>H269-I269</f>
        <v>0</v>
      </c>
      <c r="K269" s="3">
        <v>46210</v>
      </c>
      <c r="L269">
        <f t="shared" si="4"/>
        <v>0</v>
      </c>
      <c r="M269" t="str">
        <f>IF(J269&lt;=0,"Paid",IF(L269=0,"Current",IF(L269&lt;=30,"1-30 Days",IF(L269&lt;=60,"31-60 Days",IF(L269&lt;=90,"61-90 Days","90+ Days")))))</f>
        <v>Paid</v>
      </c>
      <c r="N269" t="s">
        <v>17</v>
      </c>
    </row>
    <row r="270" spans="1:14">
      <c r="A270" t="s">
        <v>568</v>
      </c>
      <c r="B270" t="s">
        <v>569</v>
      </c>
      <c r="C270" t="s">
        <v>29</v>
      </c>
      <c r="D270" t="s">
        <v>66</v>
      </c>
      <c r="E270">
        <v>2026</v>
      </c>
      <c r="F270" s="3">
        <v>46025</v>
      </c>
      <c r="G270" s="3">
        <v>46210</v>
      </c>
      <c r="H270" s="4">
        <v>4203</v>
      </c>
      <c r="I270" s="4">
        <v>4203</v>
      </c>
      <c r="J270" s="4">
        <f>H270-I270</f>
        <v>0</v>
      </c>
      <c r="K270" s="3">
        <v>46210</v>
      </c>
      <c r="L270">
        <f t="shared" si="4"/>
        <v>0</v>
      </c>
      <c r="M270" t="str">
        <f>IF(J270&lt;=0,"Paid",IF(L270=0,"Current",IF(L270&lt;=30,"1-30 Days",IF(L270&lt;=60,"31-60 Days",IF(L270&lt;=90,"61-90 Days","90+ Days")))))</f>
        <v>Paid</v>
      </c>
      <c r="N270" t="s">
        <v>17</v>
      </c>
    </row>
    <row r="271" spans="1:14">
      <c r="A271" t="s">
        <v>570</v>
      </c>
      <c r="B271" t="s">
        <v>571</v>
      </c>
      <c r="C271" t="s">
        <v>27</v>
      </c>
      <c r="D271" t="s">
        <v>66</v>
      </c>
      <c r="E271">
        <v>2026</v>
      </c>
      <c r="F271" s="3">
        <v>46160</v>
      </c>
      <c r="G271" s="3">
        <v>46210</v>
      </c>
      <c r="H271" s="4">
        <v>4614</v>
      </c>
      <c r="I271" s="4">
        <v>4614</v>
      </c>
      <c r="J271" s="4">
        <f>H271-I271</f>
        <v>0</v>
      </c>
      <c r="K271" s="3">
        <v>46210</v>
      </c>
      <c r="L271">
        <f t="shared" si="4"/>
        <v>0</v>
      </c>
      <c r="M271" t="str">
        <f>IF(J271&lt;=0,"Paid",IF(L271=0,"Current",IF(L271&lt;=30,"1-30 Days",IF(L271&lt;=60,"31-60 Days",IF(L271&lt;=90,"61-90 Days","90+ Days")))))</f>
        <v>Paid</v>
      </c>
      <c r="N271" t="s">
        <v>17</v>
      </c>
    </row>
    <row r="272" spans="1:14">
      <c r="A272" t="s">
        <v>572</v>
      </c>
      <c r="B272" t="s">
        <v>573</v>
      </c>
      <c r="C272" t="s">
        <v>26</v>
      </c>
      <c r="D272" t="s">
        <v>66</v>
      </c>
      <c r="E272">
        <v>2026</v>
      </c>
      <c r="F272" s="3">
        <v>46054</v>
      </c>
      <c r="G272" s="3">
        <v>46210</v>
      </c>
      <c r="H272" s="4">
        <v>4468</v>
      </c>
      <c r="I272" s="4">
        <v>4468</v>
      </c>
      <c r="J272" s="4">
        <f>H272-I272</f>
        <v>0</v>
      </c>
      <c r="K272" s="3">
        <v>46210</v>
      </c>
      <c r="L272">
        <f t="shared" si="4"/>
        <v>0</v>
      </c>
      <c r="M272" t="str">
        <f>IF(J272&lt;=0,"Paid",IF(L272=0,"Current",IF(L272&lt;=30,"1-30 Days",IF(L272&lt;=60,"31-60 Days",IF(L272&lt;=90,"61-90 Days","90+ Days")))))</f>
        <v>Paid</v>
      </c>
      <c r="N272" t="s">
        <v>17</v>
      </c>
    </row>
    <row r="273" spans="1:14">
      <c r="A273" t="s">
        <v>574</v>
      </c>
      <c r="B273" t="s">
        <v>256</v>
      </c>
      <c r="C273" t="s">
        <v>25</v>
      </c>
      <c r="D273" t="s">
        <v>66</v>
      </c>
      <c r="E273">
        <v>2026</v>
      </c>
      <c r="F273" s="3">
        <v>45914</v>
      </c>
      <c r="G273" s="3">
        <v>46210</v>
      </c>
      <c r="H273" s="4">
        <v>4255</v>
      </c>
      <c r="I273" s="4">
        <v>2840</v>
      </c>
      <c r="J273" s="4">
        <f>H273-I273</f>
        <v>1415</v>
      </c>
      <c r="K273" s="3">
        <v>46210</v>
      </c>
      <c r="L273">
        <f t="shared" si="4"/>
        <v>6</v>
      </c>
      <c r="M273" t="str">
        <f>IF(J273&lt;=0,"Paid",IF(L273=0,"Current",IF(L273&lt;=30,"1-30 Days",IF(L273&lt;=60,"31-60 Days",IF(L273&lt;=90,"61-90 Days","90+ Days")))))</f>
        <v>1-30 Days</v>
      </c>
      <c r="N273" t="s">
        <v>17</v>
      </c>
    </row>
    <row r="274" spans="1:14">
      <c r="A274" t="s">
        <v>575</v>
      </c>
      <c r="B274" t="s">
        <v>576</v>
      </c>
      <c r="C274" t="s">
        <v>29</v>
      </c>
      <c r="D274" t="s">
        <v>66</v>
      </c>
      <c r="E274">
        <v>2026</v>
      </c>
      <c r="F274" s="3">
        <v>45897</v>
      </c>
      <c r="G274" s="3">
        <v>46210</v>
      </c>
      <c r="H274" s="4">
        <v>4135</v>
      </c>
      <c r="I274" s="4">
        <v>4135</v>
      </c>
      <c r="J274" s="4">
        <f>H274-I274</f>
        <v>0</v>
      </c>
      <c r="K274" s="3">
        <v>46210</v>
      </c>
      <c r="L274">
        <f t="shared" si="4"/>
        <v>0</v>
      </c>
      <c r="M274" t="str">
        <f>IF(J274&lt;=0,"Paid",IF(L274=0,"Current",IF(L274&lt;=30,"1-30 Days",IF(L274&lt;=60,"31-60 Days",IF(L274&lt;=90,"61-90 Days","90+ Days")))))</f>
        <v>Paid</v>
      </c>
      <c r="N274" t="s">
        <v>17</v>
      </c>
    </row>
    <row r="275" spans="1:14">
      <c r="A275" t="s">
        <v>577</v>
      </c>
      <c r="B275" t="s">
        <v>578</v>
      </c>
      <c r="C275" t="s">
        <v>28</v>
      </c>
      <c r="D275" t="s">
        <v>66</v>
      </c>
      <c r="E275">
        <v>2026</v>
      </c>
      <c r="F275" s="3">
        <v>46153</v>
      </c>
      <c r="G275" s="3">
        <v>46210</v>
      </c>
      <c r="H275" s="4">
        <v>4160</v>
      </c>
      <c r="I275" s="4">
        <v>4160</v>
      </c>
      <c r="J275" s="4">
        <f>H275-I275</f>
        <v>0</v>
      </c>
      <c r="K275" s="3">
        <v>46210</v>
      </c>
      <c r="L275">
        <f t="shared" si="4"/>
        <v>0</v>
      </c>
      <c r="M275" t="str">
        <f>IF(J275&lt;=0,"Paid",IF(L275=0,"Current",IF(L275&lt;=30,"1-30 Days",IF(L275&lt;=60,"31-60 Days",IF(L275&lt;=90,"61-90 Days","90+ Days")))))</f>
        <v>Paid</v>
      </c>
      <c r="N275" t="s">
        <v>17</v>
      </c>
    </row>
    <row r="276" spans="1:14">
      <c r="A276" t="s">
        <v>579</v>
      </c>
      <c r="B276" t="s">
        <v>530</v>
      </c>
      <c r="C276" t="s">
        <v>25</v>
      </c>
      <c r="D276" t="s">
        <v>66</v>
      </c>
      <c r="E276">
        <v>2026</v>
      </c>
      <c r="F276" s="3">
        <v>46023</v>
      </c>
      <c r="G276" s="3">
        <v>46210</v>
      </c>
      <c r="H276" s="4">
        <v>4105</v>
      </c>
      <c r="I276" s="4">
        <v>4105</v>
      </c>
      <c r="J276" s="4">
        <f>H276-I276</f>
        <v>0</v>
      </c>
      <c r="K276" s="3">
        <v>46210</v>
      </c>
      <c r="L276">
        <f t="shared" si="4"/>
        <v>0</v>
      </c>
      <c r="M276" t="str">
        <f>IF(J276&lt;=0,"Paid",IF(L276=0,"Current",IF(L276&lt;=30,"1-30 Days",IF(L276&lt;=60,"31-60 Days",IF(L276&lt;=90,"61-90 Days","90+ Days")))))</f>
        <v>Paid</v>
      </c>
      <c r="N276" t="s">
        <v>17</v>
      </c>
    </row>
    <row r="277" spans="1:14">
      <c r="A277" t="s">
        <v>580</v>
      </c>
      <c r="B277" t="s">
        <v>581</v>
      </c>
      <c r="C277" t="s">
        <v>25</v>
      </c>
      <c r="D277" t="s">
        <v>66</v>
      </c>
      <c r="E277">
        <v>2026</v>
      </c>
      <c r="F277" s="3">
        <v>46022</v>
      </c>
      <c r="G277" s="3">
        <v>46210</v>
      </c>
      <c r="H277" s="4">
        <v>4143</v>
      </c>
      <c r="I277" s="4">
        <v>4143</v>
      </c>
      <c r="J277" s="4">
        <f>H277-I277</f>
        <v>0</v>
      </c>
      <c r="K277" s="3">
        <v>46210</v>
      </c>
      <c r="L277">
        <f t="shared" si="4"/>
        <v>0</v>
      </c>
      <c r="M277" t="str">
        <f>IF(J277&lt;=0,"Paid",IF(L277=0,"Current",IF(L277&lt;=30,"1-30 Days",IF(L277&lt;=60,"31-60 Days",IF(L277&lt;=90,"61-90 Days","90+ Days")))))</f>
        <v>Paid</v>
      </c>
      <c r="N277" t="s">
        <v>17</v>
      </c>
    </row>
    <row r="278" spans="1:14">
      <c r="A278" t="s">
        <v>582</v>
      </c>
      <c r="B278" t="s">
        <v>583</v>
      </c>
      <c r="C278" t="s">
        <v>29</v>
      </c>
      <c r="D278" t="s">
        <v>66</v>
      </c>
      <c r="E278">
        <v>2026</v>
      </c>
      <c r="F278" s="3">
        <v>46055</v>
      </c>
      <c r="G278" s="3">
        <v>46210</v>
      </c>
      <c r="H278" s="4">
        <v>3754</v>
      </c>
      <c r="I278" s="4">
        <v>3754</v>
      </c>
      <c r="J278" s="4">
        <f>H278-I278</f>
        <v>0</v>
      </c>
      <c r="K278" s="3">
        <v>46210</v>
      </c>
      <c r="L278">
        <f t="shared" si="4"/>
        <v>0</v>
      </c>
      <c r="M278" t="str">
        <f>IF(J278&lt;=0,"Paid",IF(L278=0,"Current",IF(L278&lt;=30,"1-30 Days",IF(L278&lt;=60,"31-60 Days",IF(L278&lt;=90,"61-90 Days","90+ Days")))))</f>
        <v>Paid</v>
      </c>
      <c r="N278" t="s">
        <v>15</v>
      </c>
    </row>
    <row r="279" spans="1:14">
      <c r="A279" t="s">
        <v>584</v>
      </c>
      <c r="B279" t="s">
        <v>585</v>
      </c>
      <c r="C279" t="s">
        <v>26</v>
      </c>
      <c r="D279" t="s">
        <v>66</v>
      </c>
      <c r="E279">
        <v>2026</v>
      </c>
      <c r="F279" s="3">
        <v>46164</v>
      </c>
      <c r="G279" s="3">
        <v>46210</v>
      </c>
      <c r="H279" s="4">
        <v>4943</v>
      </c>
      <c r="I279" s="4">
        <v>4943</v>
      </c>
      <c r="J279" s="4">
        <f>H279-I279</f>
        <v>0</v>
      </c>
      <c r="K279" s="3">
        <v>46210</v>
      </c>
      <c r="L279">
        <f t="shared" si="4"/>
        <v>0</v>
      </c>
      <c r="M279" t="str">
        <f>IF(J279&lt;=0,"Paid",IF(L279=0,"Current",IF(L279&lt;=30,"1-30 Days",IF(L279&lt;=60,"31-60 Days",IF(L279&lt;=90,"61-90 Days","90+ Days")))))</f>
        <v>Paid</v>
      </c>
      <c r="N279" t="s">
        <v>17</v>
      </c>
    </row>
    <row r="280" spans="1:14">
      <c r="A280" t="s">
        <v>586</v>
      </c>
      <c r="B280" t="s">
        <v>382</v>
      </c>
      <c r="C280" t="s">
        <v>28</v>
      </c>
      <c r="D280" t="s">
        <v>66</v>
      </c>
      <c r="E280">
        <v>2026</v>
      </c>
      <c r="F280" s="3">
        <v>46164</v>
      </c>
      <c r="G280" s="3">
        <v>46210</v>
      </c>
      <c r="H280" s="4">
        <v>4163</v>
      </c>
      <c r="I280" s="4">
        <v>4163</v>
      </c>
      <c r="J280" s="4">
        <f>H280-I280</f>
        <v>0</v>
      </c>
      <c r="K280" s="3">
        <v>46210</v>
      </c>
      <c r="L280">
        <f t="shared" si="4"/>
        <v>0</v>
      </c>
      <c r="M280" t="str">
        <f>IF(J280&lt;=0,"Paid",IF(L280=0,"Current",IF(L280&lt;=30,"1-30 Days",IF(L280&lt;=60,"31-60 Days",IF(L280&lt;=90,"61-90 Days","90+ Days")))))</f>
        <v>Paid</v>
      </c>
      <c r="N280" t="s">
        <v>17</v>
      </c>
    </row>
    <row r="281" spans="1:14">
      <c r="A281" t="s">
        <v>587</v>
      </c>
      <c r="B281" t="s">
        <v>329</v>
      </c>
      <c r="C281" t="s">
        <v>28</v>
      </c>
      <c r="D281" t="s">
        <v>66</v>
      </c>
      <c r="E281">
        <v>2026</v>
      </c>
      <c r="F281" s="3">
        <v>46163</v>
      </c>
      <c r="G281" s="3">
        <v>46210</v>
      </c>
      <c r="H281" s="4">
        <v>4322</v>
      </c>
      <c r="I281" s="4">
        <v>4322</v>
      </c>
      <c r="J281" s="4">
        <f>H281-I281</f>
        <v>0</v>
      </c>
      <c r="K281" s="3">
        <v>46210</v>
      </c>
      <c r="L281">
        <f t="shared" si="4"/>
        <v>0</v>
      </c>
      <c r="M281" t="str">
        <f>IF(J281&lt;=0,"Paid",IF(L281=0,"Current",IF(L281&lt;=30,"1-30 Days",IF(L281&lt;=60,"31-60 Days",IF(L281&lt;=90,"61-90 Days","90+ Days")))))</f>
        <v>Paid</v>
      </c>
      <c r="N281" t="s">
        <v>17</v>
      </c>
    </row>
    <row r="282" spans="1:14" ht="15" customHeight="1">
      <c r="K282" s="3"/>
    </row>
    <row r="283" spans="1:14" ht="15" customHeight="1">
      <c r="K283" s="3"/>
    </row>
  </sheetData>
  <autoFilter ref="A1:N281" xr:uid="{8DAD17E3-9AAC-4E24-8D02-AA982A30EA3D}">
    <filterColumn colId="10">
      <filters>
        <dateGroupItem year="2026" month="7" dateTimeGrouping="month"/>
      </filters>
    </filterColumn>
    <sortState xmlns:xlrd2="http://schemas.microsoft.com/office/spreadsheetml/2017/richdata2" ref="A2:N281">
      <sortCondition descending="1" ref="J1:J28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B3EDE-C47A-4915-99B0-8FEB0B51FE25}">
  <dimension ref="A1:M30"/>
  <sheetViews>
    <sheetView tabSelected="1" workbookViewId="0">
      <selection activeCell="A30" sqref="A30"/>
    </sheetView>
  </sheetViews>
  <sheetFormatPr defaultRowHeight="14.45"/>
  <cols>
    <col min="1" max="1" width="14" bestFit="1" customWidth="1"/>
    <col min="2" max="2" width="22.42578125" bestFit="1" customWidth="1"/>
    <col min="3" max="3" width="12.42578125" customWidth="1"/>
    <col min="4" max="4" width="14.7109375" bestFit="1" customWidth="1"/>
    <col min="5" max="5" width="9.85546875" customWidth="1"/>
    <col min="6" max="6" width="22.28515625" bestFit="1" customWidth="1"/>
    <col min="7" max="7" width="10.5703125" customWidth="1"/>
    <col min="8" max="8" width="14.5703125" bestFit="1" customWidth="1"/>
    <col min="9" max="9" width="9.28515625" customWidth="1"/>
    <col min="10" max="10" width="14.5703125" bestFit="1" customWidth="1"/>
    <col min="11" max="11" width="10.28515625" customWidth="1"/>
    <col min="12" max="12" width="19.5703125" bestFit="1" customWidth="1"/>
    <col min="13" max="13" width="22.140625" bestFit="1" customWidth="1"/>
  </cols>
  <sheetData>
    <row r="1" spans="1:13">
      <c r="A1" s="2" t="s">
        <v>588</v>
      </c>
    </row>
    <row r="2" spans="1:13" ht="15">
      <c r="A2" s="24" t="s">
        <v>589</v>
      </c>
      <c r="B2" s="25"/>
      <c r="C2" s="25"/>
      <c r="D2" s="25"/>
    </row>
    <row r="4" spans="1:13" ht="15"/>
    <row r="5" spans="1:13" ht="15"/>
    <row r="6" spans="1:13" ht="15"/>
    <row r="8" spans="1:13">
      <c r="B8" s="16" t="s">
        <v>590</v>
      </c>
    </row>
    <row r="9" spans="1:13" ht="15">
      <c r="B9" t="s">
        <v>25</v>
      </c>
      <c r="D9" t="s">
        <v>28</v>
      </c>
      <c r="F9" t="s">
        <v>27</v>
      </c>
      <c r="H9" t="s">
        <v>29</v>
      </c>
      <c r="J9" t="s">
        <v>26</v>
      </c>
      <c r="L9" t="s">
        <v>591</v>
      </c>
      <c r="M9" t="s">
        <v>592</v>
      </c>
    </row>
    <row r="10" spans="1:13" ht="30.75">
      <c r="A10" s="16" t="s">
        <v>593</v>
      </c>
      <c r="B10" t="s">
        <v>594</v>
      </c>
      <c r="C10" s="22" t="s">
        <v>595</v>
      </c>
      <c r="D10" t="s">
        <v>594</v>
      </c>
      <c r="E10" s="22" t="s">
        <v>595</v>
      </c>
      <c r="F10" t="s">
        <v>594</v>
      </c>
      <c r="G10" s="22" t="s">
        <v>595</v>
      </c>
      <c r="H10" t="s">
        <v>594</v>
      </c>
      <c r="I10" s="22" t="s">
        <v>595</v>
      </c>
      <c r="J10" t="s">
        <v>594</v>
      </c>
      <c r="K10" s="22" t="s">
        <v>595</v>
      </c>
    </row>
    <row r="11" spans="1:13">
      <c r="A11" s="17" t="s">
        <v>16</v>
      </c>
      <c r="B11" s="4">
        <v>4382.0200000000004</v>
      </c>
      <c r="C11" s="18">
        <v>1</v>
      </c>
      <c r="D11" s="4"/>
      <c r="E11" s="18"/>
      <c r="F11" s="4">
        <v>17741.46</v>
      </c>
      <c r="G11" s="18">
        <v>4</v>
      </c>
      <c r="H11" s="4"/>
      <c r="I11" s="18"/>
      <c r="J11" s="4">
        <v>60902.640000000007</v>
      </c>
      <c r="K11" s="18">
        <v>13</v>
      </c>
      <c r="L11" s="4">
        <v>83026.12</v>
      </c>
      <c r="M11" s="18">
        <v>18</v>
      </c>
    </row>
    <row r="12" spans="1:13">
      <c r="A12" s="17" t="s">
        <v>18</v>
      </c>
      <c r="B12" s="4">
        <v>90631.039999999994</v>
      </c>
      <c r="C12" s="18">
        <v>35</v>
      </c>
      <c r="D12" s="4">
        <v>116059.98000000001</v>
      </c>
      <c r="E12" s="18">
        <v>41</v>
      </c>
      <c r="F12" s="4">
        <v>96073.419999999984</v>
      </c>
      <c r="G12" s="18">
        <v>34</v>
      </c>
      <c r="H12" s="4">
        <v>65621.42</v>
      </c>
      <c r="I12" s="18">
        <v>26</v>
      </c>
      <c r="J12" s="4">
        <v>53553.33</v>
      </c>
      <c r="K12" s="18">
        <v>19</v>
      </c>
      <c r="L12" s="4">
        <v>421939.19000000012</v>
      </c>
      <c r="M12" s="18">
        <v>155</v>
      </c>
    </row>
    <row r="13" spans="1:13">
      <c r="A13" s="17" t="s">
        <v>596</v>
      </c>
      <c r="B13" s="4">
        <v>0</v>
      </c>
      <c r="C13" s="18">
        <v>32</v>
      </c>
      <c r="D13" s="4">
        <v>0</v>
      </c>
      <c r="E13" s="18">
        <v>24</v>
      </c>
      <c r="F13" s="4">
        <v>0</v>
      </c>
      <c r="G13" s="18">
        <v>12</v>
      </c>
      <c r="H13" s="4">
        <v>0</v>
      </c>
      <c r="I13" s="18">
        <v>16</v>
      </c>
      <c r="J13" s="4">
        <v>0</v>
      </c>
      <c r="K13" s="18">
        <v>23</v>
      </c>
      <c r="L13" s="4">
        <v>0</v>
      </c>
      <c r="M13" s="18">
        <v>107</v>
      </c>
    </row>
    <row r="14" spans="1:13">
      <c r="A14" s="17" t="s">
        <v>597</v>
      </c>
      <c r="B14" s="4">
        <v>95013.06</v>
      </c>
      <c r="C14" s="18">
        <v>68</v>
      </c>
      <c r="D14" s="4">
        <v>116059.98000000001</v>
      </c>
      <c r="E14" s="18">
        <v>65</v>
      </c>
      <c r="F14" s="4">
        <v>113814.87999999999</v>
      </c>
      <c r="G14" s="18">
        <v>50</v>
      </c>
      <c r="H14" s="4">
        <v>65621.42</v>
      </c>
      <c r="I14" s="18">
        <v>42</v>
      </c>
      <c r="J14" s="4">
        <v>114455.97</v>
      </c>
      <c r="K14" s="18">
        <v>55</v>
      </c>
      <c r="L14" s="4">
        <v>504965.31000000011</v>
      </c>
      <c r="M14" s="18">
        <v>280</v>
      </c>
    </row>
    <row r="30" spans="1:1">
      <c r="A30" s="25" t="s">
        <v>30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Sokova Elza</dc:creator>
  <cp:keywords/>
  <dc:description/>
  <cp:lastModifiedBy/>
  <cp:revision/>
  <dcterms:created xsi:type="dcterms:W3CDTF">2026-07-13T17:07:10Z</dcterms:created>
  <dcterms:modified xsi:type="dcterms:W3CDTF">2026-07-13T20:38:31Z</dcterms:modified>
  <cp:category/>
  <cp:contentStatus/>
</cp:coreProperties>
</file>